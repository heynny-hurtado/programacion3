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ynny\Downloads\"/>
    </mc:Choice>
  </mc:AlternateContent>
  <xr:revisionPtr revIDLastSave="0" documentId="13_ncr:1_{79191AD2-16F5-4253-8006-9167AF0D550A}" xr6:coauthVersionLast="47" xr6:coauthVersionMax="47" xr10:uidLastSave="{00000000-0000-0000-0000-000000000000}"/>
  <bookViews>
    <workbookView xWindow="-108" yWindow="-108" windowWidth="23256" windowHeight="12456" activeTab="1" xr2:uid="{0400C852-A4D5-4090-84AF-046F65B351F2}"/>
  </bookViews>
  <sheets>
    <sheet name="ARREGLOS" sheetId="1" r:id="rId1"/>
    <sheet name="MATRICES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8" i="2" l="1"/>
  <c r="Q27" i="2"/>
  <c r="Q20" i="2"/>
  <c r="Q21" i="2"/>
  <c r="Q22" i="2"/>
  <c r="Q23" i="2"/>
  <c r="Q24" i="2"/>
  <c r="Q25" i="2"/>
  <c r="Q26" i="2"/>
  <c r="Q19" i="2"/>
  <c r="R9" i="2"/>
  <c r="R10" i="2"/>
  <c r="R8" i="2"/>
  <c r="P132" i="1"/>
</calcChain>
</file>

<file path=xl/sharedStrings.xml><?xml version="1.0" encoding="utf-8"?>
<sst xmlns="http://schemas.openxmlformats.org/spreadsheetml/2006/main" count="452" uniqueCount="250">
  <si>
    <t xml:space="preserve">TALLER DE ARREGLOS Y MATRICES </t>
  </si>
  <si>
    <t>POSICIÓN</t>
  </si>
  <si>
    <t>I</t>
  </si>
  <si>
    <t xml:space="preserve">i </t>
  </si>
  <si>
    <t>n/2</t>
  </si>
  <si>
    <t>=</t>
  </si>
  <si>
    <t>sobrante</t>
  </si>
  <si>
    <t>1%2</t>
  </si>
  <si>
    <t>no es par</t>
  </si>
  <si>
    <t>nuestra formula estamos diciendo que consideramos par al dividir el numero entre dos y no tener un sobrante o restante</t>
  </si>
  <si>
    <t>2%2</t>
  </si>
  <si>
    <t>3%2</t>
  </si>
  <si>
    <t>4%2</t>
  </si>
  <si>
    <t>5%2</t>
  </si>
  <si>
    <t>6%2</t>
  </si>
  <si>
    <t>7%2</t>
  </si>
  <si>
    <t>8%2</t>
  </si>
  <si>
    <t>9%2</t>
  </si>
  <si>
    <t>10%2</t>
  </si>
  <si>
    <t>es par</t>
  </si>
  <si>
    <t>error</t>
  </si>
  <si>
    <t>EJERCICIO 7</t>
  </si>
  <si>
    <t>EJERCICIO 8</t>
  </si>
  <si>
    <t>PARES</t>
  </si>
  <si>
    <t>IMPARES</t>
  </si>
  <si>
    <t>2,4,6,8,10</t>
  </si>
  <si>
    <t>1,3,5,7,9</t>
  </si>
  <si>
    <t xml:space="preserve">CONSIDERAR SI </t>
  </si>
  <si>
    <t>…</t>
  </si>
  <si>
    <t>MAX 20</t>
  </si>
  <si>
    <t>MIN 1</t>
  </si>
  <si>
    <t>i</t>
  </si>
  <si>
    <t>&gt;</t>
  </si>
  <si>
    <t>0=3</t>
  </si>
  <si>
    <t>7&gt;3</t>
  </si>
  <si>
    <t>si</t>
  </si>
  <si>
    <t>12&gt;7</t>
  </si>
  <si>
    <t>8&gt;12</t>
  </si>
  <si>
    <t xml:space="preserve">no </t>
  </si>
  <si>
    <t>7 sigue siendo mayor</t>
  </si>
  <si>
    <t xml:space="preserve">12 es mayor </t>
  </si>
  <si>
    <t>12 sigue siendo mayor</t>
  </si>
  <si>
    <t>13&gt;12</t>
  </si>
  <si>
    <t>13 es mayor</t>
  </si>
  <si>
    <t>6&gt;13</t>
  </si>
  <si>
    <t>13 sigue</t>
  </si>
  <si>
    <t>17&gt;13</t>
  </si>
  <si>
    <t>17 es mayor</t>
  </si>
  <si>
    <t>20&gt;17</t>
  </si>
  <si>
    <t>20 es mayor</t>
  </si>
  <si>
    <t>es igual</t>
  </si>
  <si>
    <t>termina</t>
  </si>
  <si>
    <t>asume que 20 es mayor</t>
  </si>
  <si>
    <t>mayor</t>
  </si>
  <si>
    <t>menor</t>
  </si>
  <si>
    <t>&lt;</t>
  </si>
  <si>
    <t>7&lt;3</t>
  </si>
  <si>
    <t>no</t>
  </si>
  <si>
    <t>tres es menor</t>
  </si>
  <si>
    <t>3&lt;12</t>
  </si>
  <si>
    <t>8&lt;3</t>
  </si>
  <si>
    <t>13&lt;3</t>
  </si>
  <si>
    <t>6&lt;3</t>
  </si>
  <si>
    <t>17&lt;3</t>
  </si>
  <si>
    <t>20&lt;3</t>
  </si>
  <si>
    <t>errpr</t>
  </si>
  <si>
    <t>3 es menor</t>
  </si>
  <si>
    <t>asume que 3 es el menor</t>
  </si>
  <si>
    <t>EJERCICIO11</t>
  </si>
  <si>
    <t>NEGATIVOS</t>
  </si>
  <si>
    <t>POSITIVOS</t>
  </si>
  <si>
    <t>CEROS</t>
  </si>
  <si>
    <t>n&lt;0</t>
  </si>
  <si>
    <t>es negativo</t>
  </si>
  <si>
    <t>n&gt;0</t>
  </si>
  <si>
    <t>es positivo</t>
  </si>
  <si>
    <t>n==0</t>
  </si>
  <si>
    <t>es cero</t>
  </si>
  <si>
    <t>(-1&lt;0)</t>
  </si>
  <si>
    <t>(0&lt;0)</t>
  </si>
  <si>
    <t>(5&lt;0)</t>
  </si>
  <si>
    <t>(-3&lt;0)</t>
  </si>
  <si>
    <t>(2&lt;0)</t>
  </si>
  <si>
    <t>(3&lt;0)</t>
  </si>
  <si>
    <t>(-5&lt;0)</t>
  </si>
  <si>
    <t>(1&lt;0)</t>
  </si>
  <si>
    <t>(-4&lt;0)</t>
  </si>
  <si>
    <t>(error&lt;0)</t>
  </si>
  <si>
    <t>(-1&gt;0)</t>
  </si>
  <si>
    <t>(0&gt;0)</t>
  </si>
  <si>
    <t>(5&gt;0)</t>
  </si>
  <si>
    <t>(-3&gt;0)</t>
  </si>
  <si>
    <t>(2&gt;0)</t>
  </si>
  <si>
    <t>(3&gt;0)</t>
  </si>
  <si>
    <t>(-5&gt;0)</t>
  </si>
  <si>
    <t>(1&gt;0)</t>
  </si>
  <si>
    <t>(-4&gt;0)</t>
  </si>
  <si>
    <t>(error&gt;0)</t>
  </si>
  <si>
    <t>(-1==0)</t>
  </si>
  <si>
    <t>(0==)</t>
  </si>
  <si>
    <t>(5==)</t>
  </si>
  <si>
    <t>(-3==)</t>
  </si>
  <si>
    <t>(2==)</t>
  </si>
  <si>
    <t>(3==)</t>
  </si>
  <si>
    <t>(-5==)</t>
  </si>
  <si>
    <t>(1==)</t>
  </si>
  <si>
    <t>(-4==)</t>
  </si>
  <si>
    <t>(error==)</t>
  </si>
  <si>
    <t>(-1,-3,-5,-4)</t>
  </si>
  <si>
    <t>(5,2,3,1)</t>
  </si>
  <si>
    <t>(0,0.)</t>
  </si>
  <si>
    <t xml:space="preserve">EJERCICIO 12 </t>
  </si>
  <si>
    <t>POSICION</t>
  </si>
  <si>
    <t>ELEMENTO</t>
  </si>
  <si>
    <t>EJERCICIO 9</t>
  </si>
  <si>
    <t>X= 2</t>
  </si>
  <si>
    <t>e</t>
  </si>
  <si>
    <t>(==x)</t>
  </si>
  <si>
    <t>(x=2)</t>
  </si>
  <si>
    <t>(2==2)</t>
  </si>
  <si>
    <t>(5==2)</t>
  </si>
  <si>
    <t>(3==2)</t>
  </si>
  <si>
    <t>(4==2)</t>
  </si>
  <si>
    <t>(7==2)</t>
  </si>
  <si>
    <t>(8==2)</t>
  </si>
  <si>
    <t>(6==2)</t>
  </si>
  <si>
    <t>paso por todas las posiciones y encontro que en la posicion (0,6,9,11) era x=2</t>
  </si>
  <si>
    <t>h:  6</t>
  </si>
  <si>
    <t>(n== h)</t>
  </si>
  <si>
    <t>(8==6)</t>
  </si>
  <si>
    <t>(5==6)</t>
  </si>
  <si>
    <t>(6==6)</t>
  </si>
  <si>
    <t>(4==6)</t>
  </si>
  <si>
    <t>(2==6)</t>
  </si>
  <si>
    <t>(7==6)</t>
  </si>
  <si>
    <t xml:space="preserve">respuesta </t>
  </si>
  <si>
    <t>siguiente i</t>
  </si>
  <si>
    <t>este programa recorre y cuenta los elementos que sean iguales a h, en este caso el numero buscado es 6 y se repite  3 veces</t>
  </si>
  <si>
    <t xml:space="preserve">pasa </t>
  </si>
  <si>
    <t>EJERCICIO 10</t>
  </si>
  <si>
    <t>Creamos un programa que sume el primer valor con el ultimo, el segundo con el penultimo, asi sucesivamente hasta que se detenga</t>
  </si>
  <si>
    <t>resultado</t>
  </si>
  <si>
    <t>(el+el)</t>
  </si>
  <si>
    <t>(i+i)</t>
  </si>
  <si>
    <t>0+11</t>
  </si>
  <si>
    <t>1+10</t>
  </si>
  <si>
    <t>2+9</t>
  </si>
  <si>
    <t>3+8</t>
  </si>
  <si>
    <t>4+7</t>
  </si>
  <si>
    <t>5+6</t>
  </si>
  <si>
    <t>5+1</t>
  </si>
  <si>
    <t>8+2</t>
  </si>
  <si>
    <t>9+5</t>
  </si>
  <si>
    <t>10+7</t>
  </si>
  <si>
    <t>11+8</t>
  </si>
  <si>
    <t>5+3</t>
  </si>
  <si>
    <t>11-i</t>
  </si>
  <si>
    <t>11-0</t>
  </si>
  <si>
    <t>(11-1)</t>
  </si>
  <si>
    <t>(11-2)</t>
  </si>
  <si>
    <t>(11-3)</t>
  </si>
  <si>
    <t>(11-4)</t>
  </si>
  <si>
    <t>(11-5)</t>
  </si>
  <si>
    <t>EJERCICIO 13</t>
  </si>
  <si>
    <t>ELEMENTOS</t>
  </si>
  <si>
    <t>SEPARAR LOS MAYORES Y LOS MENORES, Y CALCULAR LA MEDIA DE EL ARREGLO A</t>
  </si>
  <si>
    <t>E</t>
  </si>
  <si>
    <t xml:space="preserve">MEDIA </t>
  </si>
  <si>
    <t>TE/10</t>
  </si>
  <si>
    <t>Todos elementos / 10</t>
  </si>
  <si>
    <t>Mayor media</t>
  </si>
  <si>
    <t>Menor media</t>
  </si>
  <si>
    <t>5&gt;8,9</t>
  </si>
  <si>
    <t>5&lt;8,9</t>
  </si>
  <si>
    <t>8&gt;8,9</t>
  </si>
  <si>
    <t>8&lt;8,9</t>
  </si>
  <si>
    <t>9&gt;8,9</t>
  </si>
  <si>
    <t>9&lt;8,9</t>
  </si>
  <si>
    <t>10&gt;8,9</t>
  </si>
  <si>
    <t>10&lt;8,9</t>
  </si>
  <si>
    <t>13&gt;8,9</t>
  </si>
  <si>
    <t>13&lt;8,9</t>
  </si>
  <si>
    <t>18&gt;8,9</t>
  </si>
  <si>
    <t>18&lt;8,9</t>
  </si>
  <si>
    <t>12&gt;8,9</t>
  </si>
  <si>
    <t>12&lt;8,9</t>
  </si>
  <si>
    <t>3&gt;8,9</t>
  </si>
  <si>
    <t>3&lt;8,9</t>
  </si>
  <si>
    <t>4&gt;8,9</t>
  </si>
  <si>
    <t>4&lt;8,9</t>
  </si>
  <si>
    <t>7&gt;8,9</t>
  </si>
  <si>
    <t>7&lt;8,9</t>
  </si>
  <si>
    <t>se detien</t>
  </si>
  <si>
    <t>mayores (9,10,13,18,12)</t>
  </si>
  <si>
    <t>me</t>
  </si>
  <si>
    <t xml:space="preserve">MATRICES </t>
  </si>
  <si>
    <t>EJERCICIO 17</t>
  </si>
  <si>
    <t>FILAS I</t>
  </si>
  <si>
    <t>COLUMNAS J</t>
  </si>
  <si>
    <t>posicion 0</t>
  </si>
  <si>
    <t>posicion 1</t>
  </si>
  <si>
    <t>posicion 2</t>
  </si>
  <si>
    <t>suma</t>
  </si>
  <si>
    <t>fila</t>
  </si>
  <si>
    <t>EJERCICIO 18</t>
  </si>
  <si>
    <t>filas</t>
  </si>
  <si>
    <t>columnas</t>
  </si>
  <si>
    <t>operación</t>
  </si>
  <si>
    <t>*</t>
  </si>
  <si>
    <t xml:space="preserve">en este caso hicimos todas las filas multiplicadas con la columna , mas o menos eso es lo que va a hacer el programa </t>
  </si>
  <si>
    <t>f(i)                    *                 c(j)</t>
  </si>
  <si>
    <t>EJERCICIO 19</t>
  </si>
  <si>
    <t>f(i)</t>
  </si>
  <si>
    <t>c(j)</t>
  </si>
  <si>
    <t xml:space="preserve">if i==j                 =1   </t>
  </si>
  <si>
    <t>else [i] [j]  =0</t>
  </si>
  <si>
    <t>columna</t>
  </si>
  <si>
    <t>EJERCICIO 20</t>
  </si>
  <si>
    <t>if i+j =9</t>
  </si>
  <si>
    <t>(=1)</t>
  </si>
  <si>
    <t>j</t>
  </si>
  <si>
    <t>else =0</t>
  </si>
  <si>
    <t>EJERCICIO 21</t>
  </si>
  <si>
    <t>FILAS</t>
  </si>
  <si>
    <t>COLUMNAS</t>
  </si>
  <si>
    <t>3*4</t>
  </si>
  <si>
    <t>0+5</t>
  </si>
  <si>
    <t>suma [0][j]</t>
  </si>
  <si>
    <t>5+2</t>
  </si>
  <si>
    <t>7+8</t>
  </si>
  <si>
    <t>15+1</t>
  </si>
  <si>
    <t>suma [1][j]</t>
  </si>
  <si>
    <t>1+3</t>
  </si>
  <si>
    <t>11+4</t>
  </si>
  <si>
    <t>15+6</t>
  </si>
  <si>
    <t>vector b en 0</t>
  </si>
  <si>
    <t>vector b en 1</t>
  </si>
  <si>
    <t>suma[2][j]</t>
  </si>
  <si>
    <t>11+1</t>
  </si>
  <si>
    <t>12+5</t>
  </si>
  <si>
    <t>17+2</t>
  </si>
  <si>
    <t>vector b en 2</t>
  </si>
  <si>
    <t>EJERCICIO 22</t>
  </si>
  <si>
    <t>a[i][j]</t>
  </si>
  <si>
    <t>accion</t>
  </si>
  <si>
    <t>inicial</t>
  </si>
  <si>
    <t>nuevo menor</t>
  </si>
  <si>
    <t>n mayor</t>
  </si>
  <si>
    <t>ninguno</t>
  </si>
  <si>
    <t>EJERCICIO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</si>
</sst>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CC99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1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1" fillId="0" borderId="0" xfId="0" applyFont="1" applyAlignment="1"/>
    <xf numFmtId="0" fontId="1" fillId="0" borderId="2" xfId="0" applyFont="1" applyFill="1" applyBorder="1" applyAlignment="1">
      <alignment horizontal="center"/>
    </xf>
    <xf numFmtId="0" fontId="0" fillId="3" borderId="1" xfId="0" applyFill="1" applyBorder="1"/>
    <xf numFmtId="0" fontId="1" fillId="3" borderId="0" xfId="0" applyFont="1" applyFill="1"/>
    <xf numFmtId="0" fontId="0" fillId="0" borderId="0" xfId="0" applyAlignment="1"/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/>
    </xf>
    <xf numFmtId="0" fontId="0" fillId="4" borderId="0" xfId="0" applyFill="1"/>
    <xf numFmtId="0" fontId="1" fillId="5" borderId="0" xfId="0" applyFont="1" applyFill="1" applyAlignment="1">
      <alignment horizontal="center" vertical="center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5" borderId="0" xfId="0" applyFill="1"/>
    <xf numFmtId="0" fontId="0" fillId="3" borderId="0" xfId="0" applyFill="1"/>
    <xf numFmtId="0" fontId="0" fillId="2" borderId="0" xfId="0" applyFill="1"/>
    <xf numFmtId="0" fontId="1" fillId="10" borderId="0" xfId="0" applyFont="1" applyFill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0" fillId="11" borderId="0" xfId="0" applyFill="1"/>
    <xf numFmtId="0" fontId="1" fillId="2" borderId="0" xfId="0" applyFont="1" applyFill="1"/>
    <xf numFmtId="16" fontId="1" fillId="0" borderId="0" xfId="0" applyNumberFormat="1" applyFont="1" applyAlignment="1">
      <alignment horizontal="center"/>
    </xf>
    <xf numFmtId="0" fontId="1" fillId="12" borderId="0" xfId="0" applyFont="1" applyFill="1"/>
    <xf numFmtId="0" fontId="0" fillId="12" borderId="0" xfId="0" applyFill="1"/>
    <xf numFmtId="0" fontId="1" fillId="1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13" borderId="1" xfId="0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15" borderId="0" xfId="0" applyFont="1" applyFill="1"/>
    <xf numFmtId="0" fontId="0" fillId="2" borderId="1" xfId="0" applyFill="1" applyBorder="1"/>
    <xf numFmtId="0" fontId="0" fillId="12" borderId="1" xfId="0" applyFill="1" applyBorder="1"/>
    <xf numFmtId="0" fontId="1" fillId="3" borderId="0" xfId="0" applyFont="1" applyFill="1" applyAlignment="1">
      <alignment horizontal="center"/>
    </xf>
    <xf numFmtId="0" fontId="1" fillId="16" borderId="0" xfId="0" applyFont="1" applyFill="1"/>
    <xf numFmtId="0" fontId="0" fillId="4" borderId="1" xfId="0" applyFont="1" applyFill="1" applyBorder="1"/>
    <xf numFmtId="0" fontId="0" fillId="4" borderId="1" xfId="0" applyFill="1" applyBorder="1"/>
    <xf numFmtId="0" fontId="1" fillId="11" borderId="0" xfId="0" applyFont="1" applyFill="1" applyAlignment="1">
      <alignment horizontal="center"/>
    </xf>
    <xf numFmtId="0" fontId="1" fillId="1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FF9999"/>
      <color rgb="FFFFCC99"/>
      <color rgb="FF99FFCC"/>
      <color rgb="FFCCECFF"/>
      <color rgb="FF66CCFF"/>
      <color rgb="FFFF99CC"/>
      <color rgb="FFFFCCFF"/>
      <color rgb="FFFFFF99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338CA-96C7-49EB-A0A7-A1E0770D72D7}">
  <dimension ref="A1:X134"/>
  <sheetViews>
    <sheetView zoomScale="102" zoomScaleNormal="102" workbookViewId="0">
      <selection activeCell="C28" sqref="C28"/>
    </sheetView>
  </sheetViews>
  <sheetFormatPr baseColWidth="10" defaultRowHeight="14.4" x14ac:dyDescent="0.3"/>
  <cols>
    <col min="1" max="1" width="11.5546875" style="5"/>
    <col min="2" max="2" width="3.88671875" customWidth="1"/>
    <col min="3" max="3" width="4.44140625" customWidth="1"/>
    <col min="4" max="4" width="4.21875" customWidth="1"/>
    <col min="5" max="5" width="4.88671875" customWidth="1"/>
    <col min="6" max="6" width="3.21875" customWidth="1"/>
    <col min="7" max="7" width="4.77734375" customWidth="1"/>
    <col min="8" max="8" width="3.33203125" customWidth="1"/>
    <col min="9" max="9" width="3.6640625" customWidth="1"/>
    <col min="10" max="10" width="4" customWidth="1"/>
    <col min="11" max="13" width="3.88671875" customWidth="1"/>
    <col min="15" max="15" width="11.5546875" style="18"/>
    <col min="19" max="19" width="20.33203125" style="1" customWidth="1"/>
    <col min="20" max="20" width="14.6640625" customWidth="1"/>
    <col min="21" max="21" width="10.5546875" customWidth="1"/>
  </cols>
  <sheetData>
    <row r="1" spans="1:24" x14ac:dyDescent="0.3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4" x14ac:dyDescent="0.3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4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4" ht="15.6" x14ac:dyDescent="0.3">
      <c r="A4" s="47"/>
      <c r="B4" s="30" t="s">
        <v>21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42"/>
      <c r="V4" s="42"/>
      <c r="W4" s="42"/>
      <c r="X4" s="42"/>
    </row>
    <row r="5" spans="1:24" ht="15.6" x14ac:dyDescent="0.3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</row>
    <row r="6" spans="1:24" ht="15" customHeight="1" x14ac:dyDescent="0.3">
      <c r="A6" s="5" t="s">
        <v>113</v>
      </c>
      <c r="B6" s="16">
        <v>1</v>
      </c>
      <c r="C6" s="16">
        <v>2</v>
      </c>
      <c r="D6" s="16">
        <v>3</v>
      </c>
      <c r="E6" s="16">
        <v>4</v>
      </c>
      <c r="F6" s="16">
        <v>5</v>
      </c>
      <c r="G6" s="16">
        <v>6</v>
      </c>
      <c r="H6" s="16">
        <v>7</v>
      </c>
      <c r="I6" s="16">
        <v>8</v>
      </c>
      <c r="J6" s="16">
        <v>9</v>
      </c>
      <c r="K6" s="16">
        <v>10</v>
      </c>
      <c r="L6" s="22"/>
      <c r="M6" s="22"/>
      <c r="O6" s="9" t="s">
        <v>3</v>
      </c>
      <c r="P6" s="5" t="s">
        <v>116</v>
      </c>
      <c r="Q6" s="5" t="s">
        <v>4</v>
      </c>
      <c r="R6" s="5" t="s">
        <v>5</v>
      </c>
      <c r="S6" s="18" t="s">
        <v>6</v>
      </c>
    </row>
    <row r="7" spans="1:24" x14ac:dyDescent="0.3">
      <c r="A7" s="5" t="s">
        <v>1</v>
      </c>
      <c r="B7" s="6">
        <v>0</v>
      </c>
      <c r="C7" s="6">
        <v>1</v>
      </c>
      <c r="D7" s="6">
        <v>2</v>
      </c>
      <c r="E7" s="6">
        <v>3</v>
      </c>
      <c r="F7" s="6">
        <v>4</v>
      </c>
      <c r="G7" s="6">
        <v>5</v>
      </c>
      <c r="H7" s="6">
        <v>6</v>
      </c>
      <c r="I7" s="6">
        <v>7</v>
      </c>
      <c r="J7" s="6">
        <v>8</v>
      </c>
      <c r="K7" s="6">
        <v>9</v>
      </c>
      <c r="L7" s="20"/>
      <c r="M7" s="20"/>
      <c r="O7" s="7">
        <v>0</v>
      </c>
      <c r="P7" s="7">
        <v>1</v>
      </c>
      <c r="Q7" s="15" t="s">
        <v>7</v>
      </c>
      <c r="R7" s="12">
        <v>0.5</v>
      </c>
      <c r="S7" s="12">
        <v>1</v>
      </c>
      <c r="T7" s="5" t="s">
        <v>27</v>
      </c>
    </row>
    <row r="8" spans="1:24" x14ac:dyDescent="0.3">
      <c r="O8" s="9">
        <v>1</v>
      </c>
      <c r="P8" s="1">
        <v>2</v>
      </c>
      <c r="Q8" s="1" t="s">
        <v>10</v>
      </c>
      <c r="R8">
        <v>1</v>
      </c>
      <c r="S8" s="1">
        <v>0</v>
      </c>
      <c r="T8" t="s">
        <v>19</v>
      </c>
      <c r="V8" s="18" t="s">
        <v>23</v>
      </c>
      <c r="X8" s="5" t="s">
        <v>24</v>
      </c>
    </row>
    <row r="9" spans="1:24" x14ac:dyDescent="0.3">
      <c r="O9" s="9">
        <v>2</v>
      </c>
      <c r="P9" s="1">
        <v>3</v>
      </c>
      <c r="Q9" s="1" t="s">
        <v>11</v>
      </c>
      <c r="R9">
        <v>1.5</v>
      </c>
      <c r="S9" s="1">
        <v>1</v>
      </c>
      <c r="T9" t="s">
        <v>8</v>
      </c>
      <c r="V9" t="s">
        <v>25</v>
      </c>
      <c r="X9" t="s">
        <v>26</v>
      </c>
    </row>
    <row r="10" spans="1:24" x14ac:dyDescent="0.3">
      <c r="O10" s="9">
        <v>3</v>
      </c>
      <c r="P10" s="1">
        <v>4</v>
      </c>
      <c r="Q10" s="1" t="s">
        <v>12</v>
      </c>
      <c r="R10">
        <v>2</v>
      </c>
      <c r="S10" s="1">
        <v>0</v>
      </c>
      <c r="T10" t="s">
        <v>19</v>
      </c>
    </row>
    <row r="11" spans="1:24" x14ac:dyDescent="0.3">
      <c r="O11" s="9">
        <v>4</v>
      </c>
      <c r="P11" s="1">
        <v>5</v>
      </c>
      <c r="Q11" s="1" t="s">
        <v>13</v>
      </c>
      <c r="R11">
        <v>2.5</v>
      </c>
      <c r="S11" s="1">
        <v>1</v>
      </c>
      <c r="T11" t="s">
        <v>8</v>
      </c>
    </row>
    <row r="12" spans="1:24" x14ac:dyDescent="0.3">
      <c r="B12" s="14" t="s">
        <v>9</v>
      </c>
      <c r="C12" s="14"/>
      <c r="D12" s="14"/>
      <c r="E12" s="14"/>
      <c r="F12" s="14"/>
      <c r="G12" s="14"/>
      <c r="H12" s="14"/>
      <c r="I12" s="14"/>
      <c r="J12" s="14"/>
      <c r="K12" s="14"/>
      <c r="L12" s="21"/>
      <c r="M12" s="21"/>
      <c r="O12" s="9">
        <v>5</v>
      </c>
      <c r="P12" s="1">
        <v>6</v>
      </c>
      <c r="Q12" s="1" t="s">
        <v>14</v>
      </c>
      <c r="R12">
        <v>3</v>
      </c>
      <c r="S12" s="1">
        <v>0</v>
      </c>
      <c r="T12" t="s">
        <v>19</v>
      </c>
    </row>
    <row r="13" spans="1:24" x14ac:dyDescent="0.3"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21"/>
      <c r="M13" s="21"/>
      <c r="O13" s="9">
        <v>6</v>
      </c>
      <c r="P13" s="1">
        <v>7</v>
      </c>
      <c r="Q13" s="1" t="s">
        <v>15</v>
      </c>
      <c r="R13">
        <v>3.5</v>
      </c>
      <c r="S13" s="1">
        <v>1</v>
      </c>
      <c r="T13" t="s">
        <v>8</v>
      </c>
    </row>
    <row r="14" spans="1:24" x14ac:dyDescent="0.3"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21"/>
      <c r="M14" s="21"/>
      <c r="O14" s="9">
        <v>7</v>
      </c>
      <c r="P14" s="1">
        <v>8</v>
      </c>
      <c r="Q14" s="1" t="s">
        <v>16</v>
      </c>
      <c r="R14">
        <v>4</v>
      </c>
      <c r="S14" s="1">
        <v>0</v>
      </c>
      <c r="T14" t="s">
        <v>19</v>
      </c>
    </row>
    <row r="15" spans="1:24" x14ac:dyDescent="0.3"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21"/>
      <c r="M15" s="21"/>
      <c r="O15" s="9">
        <v>8</v>
      </c>
      <c r="P15" s="1">
        <v>9</v>
      </c>
      <c r="Q15" s="1" t="s">
        <v>17</v>
      </c>
      <c r="R15">
        <v>4.5</v>
      </c>
      <c r="S15" s="1">
        <v>1</v>
      </c>
      <c r="T15" t="s">
        <v>8</v>
      </c>
    </row>
    <row r="16" spans="1:24" x14ac:dyDescent="0.3"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21"/>
      <c r="M16" s="21"/>
      <c r="O16" s="9">
        <v>9</v>
      </c>
      <c r="P16" s="1">
        <v>10</v>
      </c>
      <c r="Q16" s="1" t="s">
        <v>18</v>
      </c>
      <c r="R16">
        <v>5</v>
      </c>
      <c r="S16" s="1">
        <v>0</v>
      </c>
      <c r="T16" t="s">
        <v>19</v>
      </c>
    </row>
    <row r="17" spans="1:23" x14ac:dyDescent="0.3">
      <c r="O17" s="9">
        <v>10</v>
      </c>
      <c r="P17" t="s">
        <v>20</v>
      </c>
    </row>
    <row r="20" spans="1:23" ht="15.6" x14ac:dyDescent="0.3">
      <c r="A20" s="29" t="s">
        <v>22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</row>
    <row r="21" spans="1:23" s="18" customFormat="1" x14ac:dyDescent="0.3">
      <c r="O21" s="18" t="s">
        <v>31</v>
      </c>
      <c r="P21" s="18" t="s">
        <v>116</v>
      </c>
      <c r="Q21" s="18" t="s">
        <v>32</v>
      </c>
      <c r="T21" s="18" t="s">
        <v>55</v>
      </c>
    </row>
    <row r="22" spans="1:23" x14ac:dyDescent="0.3">
      <c r="A22" s="5" t="s">
        <v>113</v>
      </c>
      <c r="B22" s="26">
        <v>3</v>
      </c>
      <c r="C22" s="26">
        <v>7</v>
      </c>
      <c r="D22" s="26">
        <v>12</v>
      </c>
      <c r="E22" s="26">
        <v>8</v>
      </c>
      <c r="F22" s="26">
        <v>13</v>
      </c>
      <c r="G22" s="26">
        <v>6</v>
      </c>
      <c r="H22" s="26">
        <v>8</v>
      </c>
      <c r="I22" s="26">
        <v>3</v>
      </c>
      <c r="J22" s="26">
        <v>5</v>
      </c>
      <c r="K22" s="26">
        <v>3</v>
      </c>
      <c r="L22" s="26">
        <v>17</v>
      </c>
      <c r="M22" s="26">
        <v>20</v>
      </c>
      <c r="N22" s="23" t="s">
        <v>29</v>
      </c>
      <c r="O22" s="25" t="s">
        <v>33</v>
      </c>
    </row>
    <row r="23" spans="1:23" s="5" customFormat="1" x14ac:dyDescent="0.3">
      <c r="A23" s="5" t="s">
        <v>1</v>
      </c>
      <c r="B23" s="19">
        <v>0</v>
      </c>
      <c r="C23" s="19">
        <v>1</v>
      </c>
      <c r="D23" s="19">
        <v>2</v>
      </c>
      <c r="E23" s="19">
        <v>3</v>
      </c>
      <c r="F23" s="19">
        <v>4</v>
      </c>
      <c r="G23" s="19">
        <v>5</v>
      </c>
      <c r="H23" s="19">
        <v>6</v>
      </c>
      <c r="I23" s="19">
        <v>7</v>
      </c>
      <c r="J23" s="19">
        <v>8</v>
      </c>
      <c r="K23" s="19">
        <v>9</v>
      </c>
      <c r="L23" s="19" t="s">
        <v>28</v>
      </c>
      <c r="M23" s="19">
        <v>29</v>
      </c>
      <c r="N23" s="23" t="s">
        <v>30</v>
      </c>
      <c r="O23" s="18">
        <v>1</v>
      </c>
      <c r="P23" s="5">
        <v>7</v>
      </c>
      <c r="Q23" s="5" t="s">
        <v>34</v>
      </c>
      <c r="R23" s="23" t="s">
        <v>35</v>
      </c>
      <c r="S23" s="18" t="s">
        <v>39</v>
      </c>
      <c r="T23" s="5" t="s">
        <v>56</v>
      </c>
      <c r="U23" s="5" t="s">
        <v>57</v>
      </c>
      <c r="V23" s="5" t="s">
        <v>58</v>
      </c>
    </row>
    <row r="24" spans="1:23" x14ac:dyDescent="0.3">
      <c r="O24" s="18">
        <v>2</v>
      </c>
      <c r="P24">
        <v>12</v>
      </c>
      <c r="Q24" t="s">
        <v>36</v>
      </c>
      <c r="R24" s="23" t="s">
        <v>35</v>
      </c>
      <c r="S24" s="1" t="s">
        <v>40</v>
      </c>
      <c r="T24" t="s">
        <v>59</v>
      </c>
      <c r="U24" t="s">
        <v>57</v>
      </c>
    </row>
    <row r="25" spans="1:23" x14ac:dyDescent="0.3">
      <c r="O25" s="18">
        <v>3</v>
      </c>
      <c r="P25">
        <v>8</v>
      </c>
      <c r="Q25" t="s">
        <v>37</v>
      </c>
      <c r="R25" s="23" t="s">
        <v>38</v>
      </c>
      <c r="S25" s="1" t="s">
        <v>41</v>
      </c>
      <c r="T25" t="s">
        <v>60</v>
      </c>
      <c r="U25" t="s">
        <v>57</v>
      </c>
    </row>
    <row r="26" spans="1:23" x14ac:dyDescent="0.3">
      <c r="O26" s="18">
        <v>4</v>
      </c>
      <c r="P26">
        <v>13</v>
      </c>
      <c r="Q26" t="s">
        <v>42</v>
      </c>
      <c r="R26" s="23" t="s">
        <v>35</v>
      </c>
      <c r="S26" s="1" t="s">
        <v>43</v>
      </c>
      <c r="T26" t="s">
        <v>61</v>
      </c>
    </row>
    <row r="27" spans="1:23" x14ac:dyDescent="0.3">
      <c r="O27" s="18">
        <v>5</v>
      </c>
      <c r="P27">
        <v>6</v>
      </c>
      <c r="Q27" t="s">
        <v>44</v>
      </c>
      <c r="R27" s="23" t="s">
        <v>38</v>
      </c>
      <c r="S27" s="1" t="s">
        <v>45</v>
      </c>
      <c r="T27" t="s">
        <v>62</v>
      </c>
    </row>
    <row r="28" spans="1:23" x14ac:dyDescent="0.3">
      <c r="O28" s="18">
        <v>9</v>
      </c>
      <c r="R28" s="23"/>
    </row>
    <row r="29" spans="1:23" x14ac:dyDescent="0.3">
      <c r="O29" s="18">
        <v>7</v>
      </c>
      <c r="R29" s="23"/>
    </row>
    <row r="30" spans="1:23" x14ac:dyDescent="0.3">
      <c r="O30" s="18">
        <v>8</v>
      </c>
      <c r="R30" s="23"/>
    </row>
    <row r="31" spans="1:23" x14ac:dyDescent="0.3">
      <c r="O31" s="18">
        <v>9</v>
      </c>
      <c r="R31" s="23"/>
    </row>
    <row r="32" spans="1:23" x14ac:dyDescent="0.3">
      <c r="O32" s="18" t="s">
        <v>28</v>
      </c>
      <c r="P32">
        <v>17</v>
      </c>
      <c r="Q32" t="s">
        <v>46</v>
      </c>
      <c r="R32" s="23" t="s">
        <v>35</v>
      </c>
      <c r="S32" s="1" t="s">
        <v>47</v>
      </c>
      <c r="T32" t="s">
        <v>63</v>
      </c>
    </row>
    <row r="33" spans="1:23" x14ac:dyDescent="0.3">
      <c r="O33" s="18">
        <v>29</v>
      </c>
      <c r="P33">
        <v>20</v>
      </c>
      <c r="Q33" t="s">
        <v>48</v>
      </c>
      <c r="R33" s="23" t="s">
        <v>35</v>
      </c>
      <c r="S33" s="1" t="s">
        <v>49</v>
      </c>
      <c r="T33" t="s">
        <v>64</v>
      </c>
      <c r="U33" s="1"/>
      <c r="V33" s="1" t="s">
        <v>66</v>
      </c>
    </row>
    <row r="34" spans="1:23" x14ac:dyDescent="0.3">
      <c r="O34" s="18">
        <v>30</v>
      </c>
      <c r="P34" t="s">
        <v>65</v>
      </c>
      <c r="S34" s="1" t="s">
        <v>51</v>
      </c>
      <c r="T34" t="s">
        <v>20</v>
      </c>
      <c r="U34" t="s">
        <v>51</v>
      </c>
    </row>
    <row r="35" spans="1:23" x14ac:dyDescent="0.3">
      <c r="N35" s="5" t="s">
        <v>53</v>
      </c>
    </row>
    <row r="36" spans="1:23" x14ac:dyDescent="0.3">
      <c r="N36" s="13" t="s">
        <v>52</v>
      </c>
    </row>
    <row r="37" spans="1:23" x14ac:dyDescent="0.3">
      <c r="N37" s="13"/>
    </row>
    <row r="38" spans="1:23" x14ac:dyDescent="0.3">
      <c r="N38" s="5" t="s">
        <v>54</v>
      </c>
    </row>
    <row r="39" spans="1:23" x14ac:dyDescent="0.3">
      <c r="N39" s="13" t="s">
        <v>67</v>
      </c>
    </row>
    <row r="40" spans="1:23" x14ac:dyDescent="0.3">
      <c r="N40" s="13"/>
    </row>
    <row r="41" spans="1:23" x14ac:dyDescent="0.3">
      <c r="A41" s="27"/>
    </row>
    <row r="42" spans="1:23" x14ac:dyDescent="0.3">
      <c r="A42" s="32" t="s">
        <v>114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</row>
    <row r="45" spans="1:23" x14ac:dyDescent="0.3">
      <c r="A45" s="5" t="s">
        <v>113</v>
      </c>
      <c r="B45" s="33">
        <v>8</v>
      </c>
      <c r="C45" s="33">
        <v>5</v>
      </c>
      <c r="D45" s="33">
        <v>6</v>
      </c>
      <c r="E45" s="33">
        <v>4</v>
      </c>
      <c r="F45" s="33">
        <v>2</v>
      </c>
      <c r="G45" s="33">
        <v>6</v>
      </c>
      <c r="H45" s="33">
        <v>7</v>
      </c>
      <c r="I45" s="33">
        <v>5</v>
      </c>
      <c r="J45" s="33">
        <v>8</v>
      </c>
      <c r="K45" s="33">
        <v>6</v>
      </c>
      <c r="N45" s="5" t="s">
        <v>31</v>
      </c>
      <c r="O45" s="18" t="s">
        <v>116</v>
      </c>
      <c r="P45" s="5" t="s">
        <v>128</v>
      </c>
      <c r="Q45" s="5" t="s">
        <v>135</v>
      </c>
      <c r="R45" s="5" t="s">
        <v>138</v>
      </c>
    </row>
    <row r="46" spans="1:23" x14ac:dyDescent="0.3">
      <c r="A46" s="5" t="s">
        <v>1</v>
      </c>
      <c r="B46">
        <v>0</v>
      </c>
      <c r="C46">
        <v>1</v>
      </c>
      <c r="D46">
        <v>2</v>
      </c>
      <c r="E46">
        <v>3</v>
      </c>
      <c r="F46">
        <v>4</v>
      </c>
      <c r="G46">
        <v>5</v>
      </c>
      <c r="H46">
        <v>6</v>
      </c>
      <c r="I46">
        <v>7</v>
      </c>
      <c r="J46">
        <v>8</v>
      </c>
      <c r="K46">
        <v>9</v>
      </c>
      <c r="N46">
        <v>0</v>
      </c>
      <c r="O46" s="18">
        <v>8</v>
      </c>
      <c r="P46" t="s">
        <v>129</v>
      </c>
      <c r="Q46" t="s">
        <v>57</v>
      </c>
      <c r="R46" t="s">
        <v>136</v>
      </c>
    </row>
    <row r="47" spans="1:23" x14ac:dyDescent="0.3">
      <c r="A47" s="5" t="s">
        <v>127</v>
      </c>
      <c r="N47">
        <v>1</v>
      </c>
      <c r="O47" s="18">
        <v>5</v>
      </c>
      <c r="P47" t="s">
        <v>130</v>
      </c>
      <c r="Q47" t="s">
        <v>57</v>
      </c>
      <c r="R47" t="s">
        <v>136</v>
      </c>
    </row>
    <row r="48" spans="1:23" x14ac:dyDescent="0.3">
      <c r="N48">
        <v>2</v>
      </c>
      <c r="O48" s="18">
        <v>6</v>
      </c>
      <c r="P48" t="s">
        <v>131</v>
      </c>
      <c r="Q48" t="s">
        <v>35</v>
      </c>
      <c r="R48" t="s">
        <v>136</v>
      </c>
    </row>
    <row r="49" spans="1:23" x14ac:dyDescent="0.3">
      <c r="N49">
        <v>3</v>
      </c>
      <c r="O49" s="18">
        <v>4</v>
      </c>
      <c r="P49" t="s">
        <v>132</v>
      </c>
      <c r="Q49" t="s">
        <v>57</v>
      </c>
      <c r="R49" t="s">
        <v>136</v>
      </c>
    </row>
    <row r="50" spans="1:23" x14ac:dyDescent="0.3">
      <c r="N50">
        <v>4</v>
      </c>
      <c r="O50" s="18">
        <v>2</v>
      </c>
      <c r="P50" t="s">
        <v>133</v>
      </c>
      <c r="Q50" t="s">
        <v>57</v>
      </c>
      <c r="R50" t="s">
        <v>136</v>
      </c>
    </row>
    <row r="51" spans="1:23" x14ac:dyDescent="0.3">
      <c r="F51" s="14" t="s">
        <v>137</v>
      </c>
      <c r="G51" s="14"/>
      <c r="H51" s="14"/>
      <c r="I51" s="14"/>
      <c r="J51" s="14"/>
      <c r="K51" s="14"/>
      <c r="L51" s="14"/>
      <c r="M51" s="14"/>
      <c r="N51">
        <v>5</v>
      </c>
      <c r="O51" s="18">
        <v>6</v>
      </c>
      <c r="P51" t="s">
        <v>131</v>
      </c>
      <c r="Q51" t="s">
        <v>35</v>
      </c>
      <c r="R51" t="s">
        <v>136</v>
      </c>
    </row>
    <row r="52" spans="1:23" x14ac:dyDescent="0.3">
      <c r="F52" s="14"/>
      <c r="G52" s="14"/>
      <c r="H52" s="14"/>
      <c r="I52" s="14"/>
      <c r="J52" s="14"/>
      <c r="K52" s="14"/>
      <c r="L52" s="14"/>
      <c r="M52" s="14"/>
      <c r="N52">
        <v>6</v>
      </c>
      <c r="O52" s="18">
        <v>7</v>
      </c>
      <c r="P52" t="s">
        <v>134</v>
      </c>
      <c r="Q52" t="s">
        <v>57</v>
      </c>
      <c r="R52" t="s">
        <v>136</v>
      </c>
    </row>
    <row r="53" spans="1:23" x14ac:dyDescent="0.3">
      <c r="F53" s="14"/>
      <c r="G53" s="14"/>
      <c r="H53" s="14"/>
      <c r="I53" s="14"/>
      <c r="J53" s="14"/>
      <c r="K53" s="14"/>
      <c r="L53" s="14"/>
      <c r="M53" s="14"/>
      <c r="N53">
        <v>7</v>
      </c>
      <c r="O53" s="18">
        <v>5</v>
      </c>
      <c r="P53" t="s">
        <v>130</v>
      </c>
      <c r="Q53" t="s">
        <v>57</v>
      </c>
      <c r="R53" t="s">
        <v>136</v>
      </c>
    </row>
    <row r="54" spans="1:23" x14ac:dyDescent="0.3">
      <c r="F54" s="14"/>
      <c r="G54" s="14"/>
      <c r="H54" s="14"/>
      <c r="I54" s="14"/>
      <c r="J54" s="14"/>
      <c r="K54" s="14"/>
      <c r="L54" s="14"/>
      <c r="M54" s="14"/>
      <c r="N54">
        <v>8</v>
      </c>
      <c r="O54" s="18">
        <v>8</v>
      </c>
      <c r="P54" t="s">
        <v>129</v>
      </c>
      <c r="Q54" t="s">
        <v>57</v>
      </c>
      <c r="R54" t="s">
        <v>136</v>
      </c>
    </row>
    <row r="55" spans="1:23" x14ac:dyDescent="0.3">
      <c r="F55" s="14"/>
      <c r="G55" s="14"/>
      <c r="H55" s="14"/>
      <c r="I55" s="14"/>
      <c r="J55" s="14"/>
      <c r="K55" s="14"/>
      <c r="L55" s="14"/>
      <c r="M55" s="14"/>
      <c r="N55">
        <v>9</v>
      </c>
      <c r="O55" s="18">
        <v>6</v>
      </c>
      <c r="P55" t="s">
        <v>131</v>
      </c>
      <c r="Q55" t="s">
        <v>35</v>
      </c>
      <c r="R55" t="s">
        <v>136</v>
      </c>
    </row>
    <row r="56" spans="1:23" x14ac:dyDescent="0.3">
      <c r="F56" s="14"/>
      <c r="G56" s="14"/>
      <c r="H56" s="14"/>
      <c r="I56" s="14"/>
      <c r="J56" s="14"/>
      <c r="K56" s="14"/>
      <c r="L56" s="14"/>
      <c r="M56" s="14"/>
      <c r="N56">
        <v>10</v>
      </c>
      <c r="O56" s="18" t="s">
        <v>20</v>
      </c>
      <c r="P56" t="s">
        <v>51</v>
      </c>
      <c r="R56" t="s">
        <v>51</v>
      </c>
    </row>
    <row r="60" spans="1:23" x14ac:dyDescent="0.3">
      <c r="A60" s="27"/>
    </row>
    <row r="61" spans="1:23" x14ac:dyDescent="0.3">
      <c r="A61" s="34" t="s">
        <v>139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</row>
    <row r="63" spans="1:23" x14ac:dyDescent="0.3">
      <c r="A63" s="5" t="s">
        <v>113</v>
      </c>
      <c r="B63" s="35">
        <v>5</v>
      </c>
      <c r="C63" s="36">
        <v>8</v>
      </c>
      <c r="D63" s="37">
        <v>9</v>
      </c>
      <c r="E63" s="38">
        <v>10</v>
      </c>
      <c r="F63" s="39">
        <v>11</v>
      </c>
      <c r="G63" s="40">
        <v>5</v>
      </c>
      <c r="H63" s="40">
        <v>3</v>
      </c>
      <c r="I63" s="39">
        <v>8</v>
      </c>
      <c r="J63" s="38">
        <v>7</v>
      </c>
      <c r="K63" s="37">
        <v>5</v>
      </c>
      <c r="L63" s="36">
        <v>2</v>
      </c>
      <c r="M63" s="35">
        <v>1</v>
      </c>
      <c r="N63" t="s">
        <v>31</v>
      </c>
      <c r="O63" s="18" t="s">
        <v>156</v>
      </c>
      <c r="P63" s="18"/>
      <c r="Q63" s="18" t="s">
        <v>143</v>
      </c>
      <c r="R63" s="18" t="s">
        <v>142</v>
      </c>
      <c r="S63" s="18" t="s">
        <v>141</v>
      </c>
    </row>
    <row r="64" spans="1:23" x14ac:dyDescent="0.3">
      <c r="A64" s="5" t="s">
        <v>112</v>
      </c>
      <c r="B64">
        <v>0</v>
      </c>
      <c r="C64">
        <v>1</v>
      </c>
      <c r="D64">
        <v>2</v>
      </c>
      <c r="E64">
        <v>3</v>
      </c>
      <c r="F64">
        <v>4</v>
      </c>
      <c r="G64">
        <v>5</v>
      </c>
      <c r="H64">
        <v>6</v>
      </c>
      <c r="I64">
        <v>7</v>
      </c>
      <c r="J64">
        <v>8</v>
      </c>
      <c r="K64">
        <v>9</v>
      </c>
      <c r="L64">
        <v>10</v>
      </c>
      <c r="M64">
        <v>11</v>
      </c>
      <c r="N64">
        <v>0</v>
      </c>
      <c r="O64" s="18" t="s">
        <v>157</v>
      </c>
      <c r="P64" s="1">
        <v>11</v>
      </c>
      <c r="Q64" s="1" t="s">
        <v>144</v>
      </c>
      <c r="R64" s="1" t="s">
        <v>150</v>
      </c>
      <c r="S64" s="1">
        <v>6</v>
      </c>
    </row>
    <row r="65" spans="2:19" x14ac:dyDescent="0.3">
      <c r="N65">
        <v>1</v>
      </c>
      <c r="O65" s="48" t="s">
        <v>158</v>
      </c>
      <c r="P65" s="1">
        <v>10</v>
      </c>
      <c r="Q65" s="1" t="s">
        <v>145</v>
      </c>
      <c r="R65" s="1" t="s">
        <v>151</v>
      </c>
      <c r="S65" s="1">
        <v>10</v>
      </c>
    </row>
    <row r="66" spans="2:19" x14ac:dyDescent="0.3">
      <c r="N66">
        <v>2</v>
      </c>
      <c r="O66" s="18" t="s">
        <v>159</v>
      </c>
      <c r="P66" s="1">
        <v>9</v>
      </c>
      <c r="Q66" s="1" t="s">
        <v>146</v>
      </c>
      <c r="R66" s="1" t="s">
        <v>152</v>
      </c>
      <c r="S66" s="1">
        <v>14</v>
      </c>
    </row>
    <row r="67" spans="2:19" x14ac:dyDescent="0.3">
      <c r="B67" s="14" t="s">
        <v>140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>
        <v>3</v>
      </c>
      <c r="O67" s="18" t="s">
        <v>160</v>
      </c>
      <c r="P67" s="1">
        <v>8</v>
      </c>
      <c r="Q67" s="1" t="s">
        <v>147</v>
      </c>
      <c r="R67" s="1" t="s">
        <v>153</v>
      </c>
      <c r="S67" s="1">
        <v>17</v>
      </c>
    </row>
    <row r="68" spans="2:19" x14ac:dyDescent="0.3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>
        <v>4</v>
      </c>
      <c r="O68" s="18" t="s">
        <v>161</v>
      </c>
      <c r="P68" s="1">
        <v>7</v>
      </c>
      <c r="Q68" s="1" t="s">
        <v>148</v>
      </c>
      <c r="R68" s="1" t="s">
        <v>154</v>
      </c>
      <c r="S68" s="1">
        <v>19</v>
      </c>
    </row>
    <row r="69" spans="2:19" x14ac:dyDescent="0.3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>
        <v>5</v>
      </c>
      <c r="O69" s="18" t="s">
        <v>162</v>
      </c>
      <c r="P69" s="1">
        <v>6</v>
      </c>
      <c r="Q69" s="1" t="s">
        <v>149</v>
      </c>
      <c r="R69" s="1" t="s">
        <v>155</v>
      </c>
      <c r="S69" s="1">
        <v>8</v>
      </c>
    </row>
    <row r="70" spans="2:19" x14ac:dyDescent="0.3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</row>
    <row r="82" spans="1:23" x14ac:dyDescent="0.3">
      <c r="A82" s="27"/>
    </row>
    <row r="83" spans="1:23" x14ac:dyDescent="0.3">
      <c r="A83" s="43" t="s">
        <v>68</v>
      </c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39"/>
      <c r="V83" s="39"/>
      <c r="W83" s="39"/>
    </row>
    <row r="84" spans="1:23" x14ac:dyDescent="0.3">
      <c r="N84" s="17" t="s">
        <v>69</v>
      </c>
      <c r="O84" s="17"/>
      <c r="P84" s="17"/>
      <c r="Q84" s="17" t="s">
        <v>70</v>
      </c>
      <c r="R84" s="17"/>
      <c r="S84" s="17"/>
      <c r="T84" s="17" t="s">
        <v>71</v>
      </c>
      <c r="U84" s="17"/>
      <c r="V84" s="17"/>
    </row>
    <row r="85" spans="1:23" s="8" customFormat="1" x14ac:dyDescent="0.3">
      <c r="A85" s="9" t="s">
        <v>113</v>
      </c>
      <c r="B85" s="44">
        <v>-1</v>
      </c>
      <c r="C85" s="44">
        <v>0</v>
      </c>
      <c r="D85" s="44">
        <v>5</v>
      </c>
      <c r="E85" s="44">
        <v>-3</v>
      </c>
      <c r="F85" s="44">
        <v>2</v>
      </c>
      <c r="G85" s="44">
        <v>3</v>
      </c>
      <c r="H85" s="44">
        <v>-5</v>
      </c>
      <c r="I85" s="44">
        <v>1</v>
      </c>
      <c r="J85" s="44">
        <v>-4</v>
      </c>
      <c r="K85" s="44">
        <v>0</v>
      </c>
      <c r="L85" s="9"/>
      <c r="M85" s="9" t="s">
        <v>31</v>
      </c>
      <c r="N85" s="9" t="s">
        <v>116</v>
      </c>
      <c r="O85" s="9" t="s">
        <v>72</v>
      </c>
      <c r="P85" s="9" t="s">
        <v>73</v>
      </c>
      <c r="Q85" s="9" t="s">
        <v>116</v>
      </c>
      <c r="R85" s="9" t="s">
        <v>74</v>
      </c>
      <c r="S85" s="9" t="s">
        <v>75</v>
      </c>
      <c r="T85" s="9" t="s">
        <v>116</v>
      </c>
      <c r="U85" s="9" t="s">
        <v>76</v>
      </c>
      <c r="V85" s="9" t="s">
        <v>77</v>
      </c>
    </row>
    <row r="86" spans="1:23" s="8" customFormat="1" x14ac:dyDescent="0.3">
      <c r="A86" s="9" t="s">
        <v>1</v>
      </c>
      <c r="B86" s="6">
        <v>0</v>
      </c>
      <c r="C86" s="6">
        <v>1</v>
      </c>
      <c r="D86" s="6">
        <v>2</v>
      </c>
      <c r="E86" s="6">
        <v>3</v>
      </c>
      <c r="F86" s="6">
        <v>4</v>
      </c>
      <c r="G86" s="6">
        <v>5</v>
      </c>
      <c r="H86" s="6">
        <v>6</v>
      </c>
      <c r="I86" s="6">
        <v>7</v>
      </c>
      <c r="J86" s="6">
        <v>8</v>
      </c>
      <c r="K86" s="6">
        <v>9</v>
      </c>
      <c r="L86" s="9"/>
      <c r="M86" s="9">
        <v>0</v>
      </c>
      <c r="N86" s="9">
        <v>-1</v>
      </c>
      <c r="O86" s="10" t="s">
        <v>78</v>
      </c>
      <c r="P86" s="10" t="s">
        <v>35</v>
      </c>
      <c r="Q86" s="9">
        <v>-1</v>
      </c>
      <c r="R86" s="8" t="s">
        <v>88</v>
      </c>
      <c r="S86" s="8" t="s">
        <v>57</v>
      </c>
      <c r="T86" s="9">
        <v>-1</v>
      </c>
      <c r="U86" s="8" t="s">
        <v>98</v>
      </c>
      <c r="V86" s="8" t="s">
        <v>57</v>
      </c>
    </row>
    <row r="87" spans="1:23" x14ac:dyDescent="0.3">
      <c r="M87" s="18">
        <v>1</v>
      </c>
      <c r="N87" s="18">
        <v>0</v>
      </c>
      <c r="O87" s="23" t="s">
        <v>79</v>
      </c>
      <c r="P87" s="23" t="s">
        <v>57</v>
      </c>
      <c r="Q87" s="18">
        <v>0</v>
      </c>
      <c r="R87" s="1" t="s">
        <v>89</v>
      </c>
      <c r="S87" s="1" t="s">
        <v>57</v>
      </c>
      <c r="T87" s="18">
        <v>0</v>
      </c>
      <c r="U87" s="8" t="s">
        <v>99</v>
      </c>
      <c r="V87" s="1" t="s">
        <v>35</v>
      </c>
    </row>
    <row r="88" spans="1:23" x14ac:dyDescent="0.3">
      <c r="M88" s="18">
        <v>2</v>
      </c>
      <c r="N88" s="18">
        <v>5</v>
      </c>
      <c r="O88" s="23" t="s">
        <v>80</v>
      </c>
      <c r="P88" s="23" t="s">
        <v>57</v>
      </c>
      <c r="Q88" s="18">
        <v>5</v>
      </c>
      <c r="R88" s="1" t="s">
        <v>90</v>
      </c>
      <c r="S88" s="1" t="s">
        <v>35</v>
      </c>
      <c r="T88" s="18">
        <v>5</v>
      </c>
      <c r="U88" s="8" t="s">
        <v>100</v>
      </c>
      <c r="V88" s="1" t="s">
        <v>57</v>
      </c>
    </row>
    <row r="89" spans="1:23" x14ac:dyDescent="0.3">
      <c r="M89" s="18">
        <v>3</v>
      </c>
      <c r="N89" s="18">
        <v>-3</v>
      </c>
      <c r="O89" s="23" t="s">
        <v>81</v>
      </c>
      <c r="P89" s="23" t="s">
        <v>35</v>
      </c>
      <c r="Q89" s="18">
        <v>-3</v>
      </c>
      <c r="R89" s="1" t="s">
        <v>91</v>
      </c>
      <c r="S89" s="1" t="s">
        <v>57</v>
      </c>
      <c r="T89" s="18">
        <v>-3</v>
      </c>
      <c r="U89" s="8" t="s">
        <v>101</v>
      </c>
      <c r="V89" s="1" t="s">
        <v>57</v>
      </c>
    </row>
    <row r="90" spans="1:23" x14ac:dyDescent="0.3">
      <c r="M90" s="18">
        <v>4</v>
      </c>
      <c r="N90" s="18">
        <v>2</v>
      </c>
      <c r="O90" s="23" t="s">
        <v>82</v>
      </c>
      <c r="P90" s="23" t="s">
        <v>57</v>
      </c>
      <c r="Q90" s="18">
        <v>2</v>
      </c>
      <c r="R90" s="1" t="s">
        <v>92</v>
      </c>
      <c r="S90" s="1" t="s">
        <v>35</v>
      </c>
      <c r="T90" s="18">
        <v>2</v>
      </c>
      <c r="U90" s="8" t="s">
        <v>102</v>
      </c>
      <c r="V90" s="1" t="s">
        <v>57</v>
      </c>
    </row>
    <row r="91" spans="1:23" x14ac:dyDescent="0.3">
      <c r="M91" s="18">
        <v>5</v>
      </c>
      <c r="N91" s="18">
        <v>3</v>
      </c>
      <c r="O91" s="23" t="s">
        <v>83</v>
      </c>
      <c r="P91" s="23" t="s">
        <v>57</v>
      </c>
      <c r="Q91" s="18">
        <v>3</v>
      </c>
      <c r="R91" s="1" t="s">
        <v>93</v>
      </c>
      <c r="S91" s="1" t="s">
        <v>35</v>
      </c>
      <c r="T91" s="18">
        <v>3</v>
      </c>
      <c r="U91" s="8" t="s">
        <v>103</v>
      </c>
      <c r="V91" s="1" t="s">
        <v>57</v>
      </c>
    </row>
    <row r="92" spans="1:23" x14ac:dyDescent="0.3">
      <c r="M92" s="18">
        <v>6</v>
      </c>
      <c r="N92" s="18">
        <v>-5</v>
      </c>
      <c r="O92" s="23" t="s">
        <v>84</v>
      </c>
      <c r="P92" s="23" t="s">
        <v>35</v>
      </c>
      <c r="Q92" s="18">
        <v>-5</v>
      </c>
      <c r="R92" s="1" t="s">
        <v>94</v>
      </c>
      <c r="S92" s="1" t="s">
        <v>57</v>
      </c>
      <c r="T92" s="18">
        <v>-5</v>
      </c>
      <c r="U92" s="8" t="s">
        <v>104</v>
      </c>
      <c r="V92" s="1" t="s">
        <v>57</v>
      </c>
    </row>
    <row r="93" spans="1:23" x14ac:dyDescent="0.3">
      <c r="M93" s="18">
        <v>7</v>
      </c>
      <c r="N93" s="18">
        <v>1</v>
      </c>
      <c r="O93" s="23" t="s">
        <v>85</v>
      </c>
      <c r="P93" s="23" t="s">
        <v>57</v>
      </c>
      <c r="Q93" s="18">
        <v>1</v>
      </c>
      <c r="R93" s="1" t="s">
        <v>95</v>
      </c>
      <c r="S93" s="1" t="s">
        <v>35</v>
      </c>
      <c r="T93" s="18">
        <v>1</v>
      </c>
      <c r="U93" s="8" t="s">
        <v>105</v>
      </c>
      <c r="V93" s="1" t="s">
        <v>57</v>
      </c>
    </row>
    <row r="94" spans="1:23" x14ac:dyDescent="0.3">
      <c r="M94" s="18">
        <v>8</v>
      </c>
      <c r="N94" s="18">
        <v>-4</v>
      </c>
      <c r="O94" s="23" t="s">
        <v>86</v>
      </c>
      <c r="P94" s="23" t="s">
        <v>35</v>
      </c>
      <c r="Q94" s="18">
        <v>-4</v>
      </c>
      <c r="R94" s="1" t="s">
        <v>96</v>
      </c>
      <c r="S94" s="1" t="s">
        <v>57</v>
      </c>
      <c r="T94" s="18">
        <v>-4</v>
      </c>
      <c r="U94" s="8" t="s">
        <v>106</v>
      </c>
      <c r="V94" s="1" t="s">
        <v>57</v>
      </c>
    </row>
    <row r="95" spans="1:23" x14ac:dyDescent="0.3">
      <c r="M95" s="18">
        <v>9</v>
      </c>
      <c r="N95" s="18">
        <v>0</v>
      </c>
      <c r="O95" s="23" t="s">
        <v>79</v>
      </c>
      <c r="P95" s="23" t="s">
        <v>57</v>
      </c>
      <c r="Q95" s="18">
        <v>0</v>
      </c>
      <c r="R95" s="1" t="s">
        <v>89</v>
      </c>
      <c r="S95" s="1" t="s">
        <v>57</v>
      </c>
      <c r="T95" s="18">
        <v>0</v>
      </c>
      <c r="U95" s="8" t="s">
        <v>99</v>
      </c>
      <c r="V95" s="1" t="s">
        <v>35</v>
      </c>
    </row>
    <row r="96" spans="1:23" x14ac:dyDescent="0.3">
      <c r="M96" s="18">
        <v>10</v>
      </c>
      <c r="N96" s="18" t="s">
        <v>20</v>
      </c>
      <c r="O96" s="23" t="s">
        <v>87</v>
      </c>
      <c r="P96" s="23"/>
      <c r="Q96" s="18" t="s">
        <v>20</v>
      </c>
      <c r="R96" s="1" t="s">
        <v>97</v>
      </c>
      <c r="T96" s="18" t="s">
        <v>20</v>
      </c>
      <c r="U96" s="8" t="s">
        <v>107</v>
      </c>
    </row>
    <row r="97" spans="1:23" x14ac:dyDescent="0.3">
      <c r="M97" s="17" t="s">
        <v>69</v>
      </c>
      <c r="N97" s="17"/>
      <c r="O97" s="17" t="s">
        <v>108</v>
      </c>
      <c r="P97" s="17"/>
      <c r="Q97" s="17" t="s">
        <v>70</v>
      </c>
      <c r="R97" s="17"/>
      <c r="S97" s="18" t="s">
        <v>109</v>
      </c>
      <c r="T97" s="5" t="s">
        <v>71</v>
      </c>
      <c r="U97" s="2" t="s">
        <v>110</v>
      </c>
      <c r="V97" s="2"/>
    </row>
    <row r="99" spans="1:23" x14ac:dyDescent="0.3">
      <c r="A99" s="45" t="s">
        <v>111</v>
      </c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6"/>
      <c r="V99" s="46"/>
      <c r="W99" s="46"/>
    </row>
    <row r="100" spans="1:23" s="18" customFormat="1" x14ac:dyDescent="0.3">
      <c r="O100" s="18" t="s">
        <v>31</v>
      </c>
      <c r="P100" s="18" t="s">
        <v>116</v>
      </c>
      <c r="Q100" s="18" t="s">
        <v>117</v>
      </c>
      <c r="R100" s="18" t="s">
        <v>50</v>
      </c>
    </row>
    <row r="101" spans="1:23" x14ac:dyDescent="0.3">
      <c r="A101" s="5" t="s">
        <v>113</v>
      </c>
      <c r="B101" s="46">
        <v>2</v>
      </c>
      <c r="C101" s="46">
        <v>5</v>
      </c>
      <c r="D101" s="46">
        <v>3</v>
      </c>
      <c r="E101" s="46">
        <v>4</v>
      </c>
      <c r="F101" s="46">
        <v>7</v>
      </c>
      <c r="G101" s="46">
        <v>8</v>
      </c>
      <c r="H101" s="46">
        <v>2</v>
      </c>
      <c r="I101" s="46">
        <v>6</v>
      </c>
      <c r="J101" s="46">
        <v>4</v>
      </c>
      <c r="K101" s="46">
        <v>2</v>
      </c>
      <c r="L101" s="46">
        <v>8</v>
      </c>
      <c r="M101" s="46">
        <v>2</v>
      </c>
      <c r="O101" s="18">
        <v>0</v>
      </c>
      <c r="P101" s="1">
        <v>2</v>
      </c>
      <c r="Q101" t="s">
        <v>119</v>
      </c>
      <c r="R101" s="1" t="s">
        <v>35</v>
      </c>
    </row>
    <row r="102" spans="1:23" x14ac:dyDescent="0.3">
      <c r="A102" s="5" t="s">
        <v>112</v>
      </c>
      <c r="B102">
        <v>0</v>
      </c>
      <c r="C102">
        <v>1</v>
      </c>
      <c r="D102">
        <v>2</v>
      </c>
      <c r="E102">
        <v>3</v>
      </c>
      <c r="F102">
        <v>4</v>
      </c>
      <c r="G102">
        <v>5</v>
      </c>
      <c r="H102">
        <v>6</v>
      </c>
      <c r="I102">
        <v>7</v>
      </c>
      <c r="J102">
        <v>8</v>
      </c>
      <c r="K102">
        <v>9</v>
      </c>
      <c r="L102">
        <v>10</v>
      </c>
      <c r="M102">
        <v>11</v>
      </c>
      <c r="O102" s="18">
        <v>1</v>
      </c>
      <c r="P102" s="1">
        <v>5</v>
      </c>
      <c r="Q102" t="s">
        <v>120</v>
      </c>
      <c r="R102" s="1" t="s">
        <v>57</v>
      </c>
    </row>
    <row r="103" spans="1:23" x14ac:dyDescent="0.3">
      <c r="O103" s="18">
        <v>2</v>
      </c>
      <c r="P103" s="1">
        <v>3</v>
      </c>
      <c r="Q103" t="s">
        <v>121</v>
      </c>
      <c r="R103" s="1" t="s">
        <v>57</v>
      </c>
    </row>
    <row r="104" spans="1:23" x14ac:dyDescent="0.3">
      <c r="O104" s="18">
        <v>3</v>
      </c>
      <c r="P104" s="1">
        <v>4</v>
      </c>
      <c r="Q104" t="s">
        <v>122</v>
      </c>
      <c r="R104" s="1" t="s">
        <v>57</v>
      </c>
    </row>
    <row r="105" spans="1:23" x14ac:dyDescent="0.3">
      <c r="A105" s="5" t="s">
        <v>115</v>
      </c>
      <c r="O105" s="18">
        <v>4</v>
      </c>
      <c r="P105" s="1">
        <v>7</v>
      </c>
      <c r="Q105" t="s">
        <v>123</v>
      </c>
      <c r="R105" s="1" t="s">
        <v>57</v>
      </c>
      <c r="S105" s="13" t="s">
        <v>126</v>
      </c>
      <c r="T105" s="13"/>
    </row>
    <row r="106" spans="1:23" x14ac:dyDescent="0.3">
      <c r="O106" s="18">
        <v>5</v>
      </c>
      <c r="P106" s="1">
        <v>8</v>
      </c>
      <c r="Q106" t="s">
        <v>124</v>
      </c>
      <c r="R106" s="1" t="s">
        <v>57</v>
      </c>
      <c r="S106" s="13"/>
      <c r="T106" s="13"/>
    </row>
    <row r="107" spans="1:23" x14ac:dyDescent="0.3">
      <c r="O107" s="18">
        <v>6</v>
      </c>
      <c r="P107" s="1">
        <v>2</v>
      </c>
      <c r="Q107" t="s">
        <v>119</v>
      </c>
      <c r="R107" s="1" t="s">
        <v>35</v>
      </c>
      <c r="S107" s="13"/>
      <c r="T107" s="13"/>
    </row>
    <row r="108" spans="1:23" x14ac:dyDescent="0.3">
      <c r="O108" s="18">
        <v>7</v>
      </c>
      <c r="P108" s="1">
        <v>6</v>
      </c>
      <c r="Q108" t="s">
        <v>125</v>
      </c>
      <c r="R108" s="1" t="s">
        <v>57</v>
      </c>
    </row>
    <row r="109" spans="1:23" x14ac:dyDescent="0.3">
      <c r="O109" s="18">
        <v>8</v>
      </c>
      <c r="P109" s="1">
        <v>4</v>
      </c>
      <c r="Q109" t="s">
        <v>122</v>
      </c>
      <c r="R109" s="1" t="s">
        <v>57</v>
      </c>
    </row>
    <row r="110" spans="1:23" x14ac:dyDescent="0.3">
      <c r="O110" s="18">
        <v>9</v>
      </c>
      <c r="P110" s="1">
        <v>2</v>
      </c>
      <c r="Q110" t="s">
        <v>119</v>
      </c>
      <c r="R110" s="1" t="s">
        <v>35</v>
      </c>
    </row>
    <row r="111" spans="1:23" x14ac:dyDescent="0.3">
      <c r="O111" s="18">
        <v>10</v>
      </c>
      <c r="P111" s="1">
        <v>8</v>
      </c>
      <c r="Q111" t="s">
        <v>124</v>
      </c>
      <c r="R111" s="1" t="s">
        <v>57</v>
      </c>
    </row>
    <row r="112" spans="1:23" x14ac:dyDescent="0.3">
      <c r="O112" s="18">
        <v>11</v>
      </c>
      <c r="P112" s="1">
        <v>2</v>
      </c>
      <c r="Q112" t="s">
        <v>119</v>
      </c>
      <c r="R112" s="1" t="s">
        <v>35</v>
      </c>
    </row>
    <row r="113" spans="1:23" x14ac:dyDescent="0.3">
      <c r="O113" s="18">
        <v>12</v>
      </c>
      <c r="P113" t="s">
        <v>20</v>
      </c>
    </row>
    <row r="114" spans="1:23" x14ac:dyDescent="0.3">
      <c r="Q114" t="s">
        <v>118</v>
      </c>
    </row>
    <row r="116" spans="1:23" x14ac:dyDescent="0.3">
      <c r="A116" s="51" t="s">
        <v>163</v>
      </c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</row>
    <row r="119" spans="1:23" x14ac:dyDescent="0.3">
      <c r="A119" s="49" t="s">
        <v>164</v>
      </c>
      <c r="B119" s="50">
        <v>5</v>
      </c>
      <c r="C119" s="50">
        <v>8</v>
      </c>
      <c r="D119" s="50">
        <v>9</v>
      </c>
      <c r="E119" s="50">
        <v>10</v>
      </c>
      <c r="F119" s="50">
        <v>13</v>
      </c>
      <c r="G119" s="50">
        <v>18</v>
      </c>
      <c r="H119" s="50">
        <v>12</v>
      </c>
      <c r="I119" s="50">
        <v>3</v>
      </c>
      <c r="J119" s="50">
        <v>4</v>
      </c>
      <c r="K119" s="50">
        <v>7</v>
      </c>
      <c r="N119" s="18" t="s">
        <v>2</v>
      </c>
      <c r="O119" s="18" t="s">
        <v>166</v>
      </c>
      <c r="P119" s="18" t="s">
        <v>170</v>
      </c>
      <c r="Q119" s="18" t="s">
        <v>141</v>
      </c>
      <c r="R119" s="18" t="s">
        <v>171</v>
      </c>
      <c r="S119" s="18" t="s">
        <v>141</v>
      </c>
    </row>
    <row r="120" spans="1:23" x14ac:dyDescent="0.3">
      <c r="A120" s="5" t="s">
        <v>1</v>
      </c>
      <c r="B120">
        <v>0</v>
      </c>
      <c r="C120">
        <v>1</v>
      </c>
      <c r="D120">
        <v>2</v>
      </c>
      <c r="E120">
        <v>3</v>
      </c>
      <c r="F120">
        <v>4</v>
      </c>
      <c r="G120">
        <v>5</v>
      </c>
      <c r="H120">
        <v>6</v>
      </c>
      <c r="I120">
        <v>7</v>
      </c>
      <c r="J120">
        <v>8</v>
      </c>
      <c r="K120">
        <v>9</v>
      </c>
      <c r="N120">
        <v>0</v>
      </c>
      <c r="O120" s="18">
        <v>5</v>
      </c>
      <c r="P120" s="1" t="s">
        <v>172</v>
      </c>
      <c r="Q120" s="1" t="s">
        <v>57</v>
      </c>
      <c r="R120" s="1" t="s">
        <v>173</v>
      </c>
      <c r="S120" s="1" t="s">
        <v>35</v>
      </c>
      <c r="T120" s="1" t="s">
        <v>54</v>
      </c>
    </row>
    <row r="121" spans="1:23" x14ac:dyDescent="0.3">
      <c r="N121">
        <v>1</v>
      </c>
      <c r="O121" s="18">
        <v>8</v>
      </c>
      <c r="P121" s="1" t="s">
        <v>174</v>
      </c>
      <c r="Q121" s="1" t="s">
        <v>57</v>
      </c>
      <c r="R121" s="1" t="s">
        <v>175</v>
      </c>
      <c r="S121" s="1" t="s">
        <v>35</v>
      </c>
      <c r="T121" s="1" t="s">
        <v>54</v>
      </c>
    </row>
    <row r="122" spans="1:23" x14ac:dyDescent="0.3">
      <c r="N122">
        <v>2</v>
      </c>
      <c r="O122" s="18">
        <v>9</v>
      </c>
      <c r="P122" s="1" t="s">
        <v>176</v>
      </c>
      <c r="Q122" s="1" t="s">
        <v>35</v>
      </c>
      <c r="R122" s="1" t="s">
        <v>177</v>
      </c>
      <c r="S122" s="1" t="s">
        <v>57</v>
      </c>
      <c r="T122" s="1" t="s">
        <v>53</v>
      </c>
    </row>
    <row r="123" spans="1:23" x14ac:dyDescent="0.3">
      <c r="N123">
        <v>3</v>
      </c>
      <c r="O123" s="18">
        <v>10</v>
      </c>
      <c r="P123" s="1" t="s">
        <v>178</v>
      </c>
      <c r="Q123" s="1" t="s">
        <v>35</v>
      </c>
      <c r="R123" s="1" t="s">
        <v>179</v>
      </c>
      <c r="S123" s="1" t="s">
        <v>57</v>
      </c>
      <c r="T123" s="1" t="s">
        <v>53</v>
      </c>
    </row>
    <row r="124" spans="1:23" x14ac:dyDescent="0.3">
      <c r="B124" s="14" t="s">
        <v>165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>
        <v>4</v>
      </c>
      <c r="O124" s="18">
        <v>13</v>
      </c>
      <c r="P124" s="1" t="s">
        <v>180</v>
      </c>
      <c r="Q124" s="1" t="s">
        <v>35</v>
      </c>
      <c r="R124" s="1" t="s">
        <v>181</v>
      </c>
      <c r="S124" s="1" t="s">
        <v>57</v>
      </c>
      <c r="T124" s="1" t="s">
        <v>53</v>
      </c>
    </row>
    <row r="125" spans="1:23" x14ac:dyDescent="0.3"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>
        <v>5</v>
      </c>
      <c r="O125" s="18">
        <v>18</v>
      </c>
      <c r="P125" s="1" t="s">
        <v>182</v>
      </c>
      <c r="Q125" s="1" t="s">
        <v>35</v>
      </c>
      <c r="R125" s="1" t="s">
        <v>183</v>
      </c>
      <c r="S125" s="1" t="s">
        <v>57</v>
      </c>
      <c r="T125" s="1" t="s">
        <v>53</v>
      </c>
    </row>
    <row r="126" spans="1:23" x14ac:dyDescent="0.3"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>
        <v>6</v>
      </c>
      <c r="O126" s="18">
        <v>12</v>
      </c>
      <c r="P126" s="1" t="s">
        <v>184</v>
      </c>
      <c r="Q126" s="1" t="s">
        <v>35</v>
      </c>
      <c r="R126" s="1" t="s">
        <v>185</v>
      </c>
      <c r="S126" s="1" t="s">
        <v>57</v>
      </c>
      <c r="T126" s="1" t="s">
        <v>53</v>
      </c>
    </row>
    <row r="127" spans="1:23" x14ac:dyDescent="0.3"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>
        <v>7</v>
      </c>
      <c r="O127" s="18">
        <v>3</v>
      </c>
      <c r="P127" s="1" t="s">
        <v>186</v>
      </c>
      <c r="Q127" s="1" t="s">
        <v>57</v>
      </c>
      <c r="R127" s="1" t="s">
        <v>187</v>
      </c>
      <c r="S127" s="1" t="s">
        <v>35</v>
      </c>
      <c r="T127" s="1" t="s">
        <v>54</v>
      </c>
    </row>
    <row r="128" spans="1:23" x14ac:dyDescent="0.3"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>
        <v>8</v>
      </c>
      <c r="O128" s="18">
        <v>4</v>
      </c>
      <c r="P128" s="1" t="s">
        <v>188</v>
      </c>
      <c r="Q128" s="1" t="s">
        <v>57</v>
      </c>
      <c r="R128" s="1" t="s">
        <v>189</v>
      </c>
      <c r="S128" s="1" t="s">
        <v>35</v>
      </c>
      <c r="T128" s="1" t="s">
        <v>54</v>
      </c>
    </row>
    <row r="129" spans="2:21" x14ac:dyDescent="0.3"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>
        <v>9</v>
      </c>
      <c r="O129" s="18">
        <v>7</v>
      </c>
      <c r="P129" s="1" t="s">
        <v>190</v>
      </c>
      <c r="Q129" s="1" t="s">
        <v>57</v>
      </c>
      <c r="R129" s="1" t="s">
        <v>191</v>
      </c>
      <c r="S129" s="1" t="s">
        <v>35</v>
      </c>
      <c r="T129" s="1" t="s">
        <v>54</v>
      </c>
    </row>
    <row r="130" spans="2:21" x14ac:dyDescent="0.3"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>
        <v>10</v>
      </c>
      <c r="O130" s="18" t="s">
        <v>20</v>
      </c>
      <c r="P130" s="1" t="s">
        <v>192</v>
      </c>
      <c r="Q130" s="1"/>
      <c r="R130" s="1"/>
    </row>
    <row r="131" spans="2:21" x14ac:dyDescent="0.3"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</row>
    <row r="132" spans="2:21" x14ac:dyDescent="0.3">
      <c r="O132" t="s">
        <v>167</v>
      </c>
      <c r="P132" s="1">
        <f>SUM(O120:O129)/10</f>
        <v>8.9</v>
      </c>
    </row>
    <row r="133" spans="2:21" x14ac:dyDescent="0.3">
      <c r="B133" s="2" t="s">
        <v>169</v>
      </c>
      <c r="C133" s="2"/>
      <c r="D133" s="2"/>
      <c r="E133" s="2"/>
      <c r="F133" s="2"/>
      <c r="G133" s="2"/>
      <c r="O133" t="s">
        <v>168</v>
      </c>
      <c r="S133" s="13" t="s">
        <v>193</v>
      </c>
      <c r="T133" s="2" t="s">
        <v>194</v>
      </c>
      <c r="U133" s="2"/>
    </row>
    <row r="134" spans="2:21" x14ac:dyDescent="0.3">
      <c r="S134" s="13"/>
      <c r="T134" s="2"/>
      <c r="U134" s="2"/>
    </row>
  </sheetData>
  <mergeCells count="25">
    <mergeCell ref="A116:W116"/>
    <mergeCell ref="B124:M131"/>
    <mergeCell ref="B133:G133"/>
    <mergeCell ref="S133:S134"/>
    <mergeCell ref="T133:U134"/>
    <mergeCell ref="A99:T99"/>
    <mergeCell ref="S105:T107"/>
    <mergeCell ref="F51:M56"/>
    <mergeCell ref="B67:M70"/>
    <mergeCell ref="A42:W42"/>
    <mergeCell ref="A61:W61"/>
    <mergeCell ref="A83:T83"/>
    <mergeCell ref="N84:P84"/>
    <mergeCell ref="Q84:S84"/>
    <mergeCell ref="T84:V84"/>
    <mergeCell ref="M97:N97"/>
    <mergeCell ref="O97:P97"/>
    <mergeCell ref="Q97:R97"/>
    <mergeCell ref="U97:V97"/>
    <mergeCell ref="B1:T3"/>
    <mergeCell ref="B12:K16"/>
    <mergeCell ref="B4:T4"/>
    <mergeCell ref="N36:N37"/>
    <mergeCell ref="N39:N40"/>
    <mergeCell ref="A20:W2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3CADD-95B4-4491-8D2F-B82253FFC748}">
  <dimension ref="A3:W95"/>
  <sheetViews>
    <sheetView tabSelected="1" topLeftCell="A73" workbookViewId="0">
      <selection activeCell="A96" sqref="A96"/>
    </sheetView>
  </sheetViews>
  <sheetFormatPr baseColWidth="10" defaultRowHeight="14.4" x14ac:dyDescent="0.3"/>
  <cols>
    <col min="1" max="1" width="7.77734375" customWidth="1"/>
    <col min="2" max="2" width="4.5546875" style="5" customWidth="1"/>
    <col min="3" max="3" width="4.77734375" customWidth="1"/>
    <col min="4" max="4" width="5.109375" customWidth="1"/>
    <col min="5" max="5" width="5.5546875" customWidth="1"/>
    <col min="6" max="11" width="5" customWidth="1"/>
    <col min="12" max="12" width="4.5546875" customWidth="1"/>
  </cols>
  <sheetData>
    <row r="3" spans="1:23" x14ac:dyDescent="0.3">
      <c r="A3" s="52" t="s">
        <v>195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</row>
    <row r="4" spans="1:23" x14ac:dyDescent="0.3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</row>
    <row r="6" spans="1:23" x14ac:dyDescent="0.3">
      <c r="A6" s="54" t="s">
        <v>196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</row>
    <row r="7" spans="1:23" x14ac:dyDescent="0.3">
      <c r="C7" s="17" t="s">
        <v>198</v>
      </c>
      <c r="D7" s="17"/>
      <c r="E7" s="17"/>
      <c r="N7" s="18" t="s">
        <v>203</v>
      </c>
      <c r="O7" s="18" t="s">
        <v>199</v>
      </c>
      <c r="P7" s="18" t="s">
        <v>200</v>
      </c>
      <c r="Q7" s="18" t="s">
        <v>201</v>
      </c>
      <c r="R7" s="18" t="s">
        <v>202</v>
      </c>
    </row>
    <row r="8" spans="1:23" x14ac:dyDescent="0.3">
      <c r="A8" s="5" t="s">
        <v>197</v>
      </c>
      <c r="C8" s="18">
        <v>0</v>
      </c>
      <c r="D8" s="18">
        <v>1</v>
      </c>
      <c r="E8" s="18">
        <v>2</v>
      </c>
      <c r="N8">
        <v>0</v>
      </c>
      <c r="O8">
        <v>8</v>
      </c>
      <c r="P8">
        <v>5</v>
      </c>
      <c r="Q8">
        <v>4</v>
      </c>
      <c r="R8">
        <f>SUM(O8:Q8)</f>
        <v>17</v>
      </c>
    </row>
    <row r="9" spans="1:23" x14ac:dyDescent="0.3">
      <c r="B9" s="18">
        <v>0</v>
      </c>
      <c r="C9" s="55">
        <v>8</v>
      </c>
      <c r="D9" s="55">
        <v>5</v>
      </c>
      <c r="E9" s="55">
        <v>4</v>
      </c>
      <c r="N9">
        <v>1</v>
      </c>
      <c r="O9">
        <v>3</v>
      </c>
      <c r="P9">
        <v>2</v>
      </c>
      <c r="Q9">
        <v>1</v>
      </c>
      <c r="R9">
        <f t="shared" ref="R9:R10" si="0">SUM(O9:Q9)</f>
        <v>6</v>
      </c>
    </row>
    <row r="10" spans="1:23" x14ac:dyDescent="0.3">
      <c r="B10" s="18">
        <v>1</v>
      </c>
      <c r="C10" s="56">
        <v>3</v>
      </c>
      <c r="D10" s="56">
        <v>2</v>
      </c>
      <c r="E10" s="56">
        <v>1</v>
      </c>
      <c r="N10">
        <v>2</v>
      </c>
      <c r="O10">
        <v>7</v>
      </c>
      <c r="P10">
        <v>6</v>
      </c>
      <c r="Q10">
        <v>9</v>
      </c>
      <c r="R10">
        <f t="shared" si="0"/>
        <v>22</v>
      </c>
    </row>
    <row r="11" spans="1:23" x14ac:dyDescent="0.3">
      <c r="B11" s="18">
        <v>2</v>
      </c>
      <c r="C11" s="53">
        <v>7</v>
      </c>
      <c r="D11" s="53">
        <v>6</v>
      </c>
      <c r="E11" s="53">
        <v>9</v>
      </c>
      <c r="N11">
        <v>3</v>
      </c>
      <c r="O11" t="s">
        <v>20</v>
      </c>
    </row>
    <row r="15" spans="1:23" x14ac:dyDescent="0.3">
      <c r="A15" s="57" t="s">
        <v>204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</row>
    <row r="17" spans="1:22" x14ac:dyDescent="0.3">
      <c r="C17" t="s">
        <v>206</v>
      </c>
      <c r="O17" t="s">
        <v>207</v>
      </c>
    </row>
    <row r="18" spans="1:22" x14ac:dyDescent="0.3">
      <c r="C18" s="5">
        <v>1</v>
      </c>
      <c r="D18" s="5">
        <v>2</v>
      </c>
      <c r="E18" s="5">
        <v>3</v>
      </c>
      <c r="F18" s="5">
        <v>4</v>
      </c>
      <c r="G18" s="5">
        <v>5</v>
      </c>
      <c r="H18" s="5">
        <v>6</v>
      </c>
      <c r="I18" s="5">
        <v>7</v>
      </c>
      <c r="J18" s="5">
        <v>8</v>
      </c>
      <c r="K18" s="5">
        <v>9</v>
      </c>
      <c r="L18" s="5">
        <v>10</v>
      </c>
      <c r="N18" s="17" t="s">
        <v>210</v>
      </c>
      <c r="O18" s="17"/>
      <c r="P18" s="17"/>
      <c r="Q18" s="5" t="s">
        <v>141</v>
      </c>
    </row>
    <row r="19" spans="1:22" x14ac:dyDescent="0.3">
      <c r="A19" t="s">
        <v>205</v>
      </c>
      <c r="B19" s="5">
        <v>1</v>
      </c>
      <c r="C19" s="39">
        <v>1</v>
      </c>
      <c r="D19">
        <v>2</v>
      </c>
      <c r="E19">
        <v>3</v>
      </c>
      <c r="F19">
        <v>4</v>
      </c>
      <c r="G19">
        <v>5</v>
      </c>
      <c r="H19">
        <v>6</v>
      </c>
      <c r="I19">
        <v>7</v>
      </c>
      <c r="J19">
        <v>8</v>
      </c>
      <c r="K19">
        <v>9</v>
      </c>
      <c r="L19">
        <v>10</v>
      </c>
      <c r="N19" s="58">
        <v>1</v>
      </c>
      <c r="O19" s="1" t="s">
        <v>208</v>
      </c>
      <c r="P19" s="1">
        <v>1</v>
      </c>
      <c r="Q19">
        <f>N19*P19</f>
        <v>1</v>
      </c>
      <c r="S19" s="13" t="s">
        <v>209</v>
      </c>
      <c r="T19" s="13"/>
      <c r="U19" s="13"/>
      <c r="V19" s="13"/>
    </row>
    <row r="20" spans="1:22" x14ac:dyDescent="0.3">
      <c r="B20" s="5">
        <v>2</v>
      </c>
      <c r="C20" s="39">
        <v>2</v>
      </c>
      <c r="D20">
        <v>4</v>
      </c>
      <c r="E20">
        <v>6</v>
      </c>
      <c r="F20">
        <v>8</v>
      </c>
      <c r="G20">
        <v>10</v>
      </c>
      <c r="H20">
        <v>12</v>
      </c>
      <c r="I20">
        <v>14</v>
      </c>
      <c r="J20">
        <v>16</v>
      </c>
      <c r="K20">
        <v>18</v>
      </c>
      <c r="L20">
        <v>20</v>
      </c>
      <c r="N20" s="58">
        <v>2</v>
      </c>
      <c r="O20" s="1" t="s">
        <v>208</v>
      </c>
      <c r="P20" s="1">
        <v>1</v>
      </c>
      <c r="Q20">
        <f t="shared" ref="Q20:Q28" si="1">N20*P20</f>
        <v>2</v>
      </c>
      <c r="S20" s="13"/>
      <c r="T20" s="13"/>
      <c r="U20" s="13"/>
      <c r="V20" s="13"/>
    </row>
    <row r="21" spans="1:22" x14ac:dyDescent="0.3">
      <c r="B21" s="5">
        <v>3</v>
      </c>
      <c r="C21" s="39">
        <v>3</v>
      </c>
      <c r="D21">
        <v>6</v>
      </c>
      <c r="E21">
        <v>9</v>
      </c>
      <c r="F21">
        <v>12</v>
      </c>
      <c r="G21">
        <v>15</v>
      </c>
      <c r="H21">
        <v>18</v>
      </c>
      <c r="I21">
        <v>21</v>
      </c>
      <c r="J21">
        <v>24</v>
      </c>
      <c r="K21">
        <v>27</v>
      </c>
      <c r="L21">
        <v>30</v>
      </c>
      <c r="N21" s="58">
        <v>3</v>
      </c>
      <c r="O21" s="1" t="s">
        <v>208</v>
      </c>
      <c r="P21" s="1">
        <v>1</v>
      </c>
      <c r="Q21">
        <f t="shared" si="1"/>
        <v>3</v>
      </c>
      <c r="S21" s="13"/>
      <c r="T21" s="13"/>
      <c r="U21" s="13"/>
      <c r="V21" s="13"/>
    </row>
    <row r="22" spans="1:22" x14ac:dyDescent="0.3">
      <c r="B22" s="5">
        <v>4</v>
      </c>
      <c r="C22" s="39">
        <v>4</v>
      </c>
      <c r="D22">
        <v>8</v>
      </c>
      <c r="E22">
        <v>12</v>
      </c>
      <c r="F22">
        <v>16</v>
      </c>
      <c r="G22">
        <v>20</v>
      </c>
      <c r="H22">
        <v>24</v>
      </c>
      <c r="I22">
        <v>28</v>
      </c>
      <c r="J22">
        <v>32</v>
      </c>
      <c r="K22">
        <v>36</v>
      </c>
      <c r="L22">
        <v>40</v>
      </c>
      <c r="N22" s="58">
        <v>4</v>
      </c>
      <c r="O22" s="1" t="s">
        <v>208</v>
      </c>
      <c r="P22" s="1">
        <v>1</v>
      </c>
      <c r="Q22">
        <f t="shared" si="1"/>
        <v>4</v>
      </c>
      <c r="S22" s="13"/>
      <c r="T22" s="13"/>
      <c r="U22" s="13"/>
      <c r="V22" s="13"/>
    </row>
    <row r="23" spans="1:22" x14ac:dyDescent="0.3">
      <c r="B23" s="5">
        <v>5</v>
      </c>
      <c r="C23" s="39">
        <v>5</v>
      </c>
      <c r="D23">
        <v>10</v>
      </c>
      <c r="E23">
        <v>15</v>
      </c>
      <c r="F23">
        <v>20</v>
      </c>
      <c r="G23">
        <v>25</v>
      </c>
      <c r="H23">
        <v>30</v>
      </c>
      <c r="I23">
        <v>35</v>
      </c>
      <c r="J23">
        <v>40</v>
      </c>
      <c r="K23">
        <v>45</v>
      </c>
      <c r="L23">
        <v>50</v>
      </c>
      <c r="N23" s="58">
        <v>5</v>
      </c>
      <c r="O23" s="1" t="s">
        <v>208</v>
      </c>
      <c r="P23" s="1">
        <v>1</v>
      </c>
      <c r="Q23">
        <f t="shared" si="1"/>
        <v>5</v>
      </c>
      <c r="S23" s="13"/>
      <c r="T23" s="13"/>
      <c r="U23" s="13"/>
      <c r="V23" s="13"/>
    </row>
    <row r="24" spans="1:22" x14ac:dyDescent="0.3">
      <c r="B24" s="5">
        <v>6</v>
      </c>
      <c r="C24" s="39">
        <v>6</v>
      </c>
      <c r="D24">
        <v>12</v>
      </c>
      <c r="E24">
        <v>18</v>
      </c>
      <c r="F24">
        <v>24</v>
      </c>
      <c r="G24">
        <v>30</v>
      </c>
      <c r="H24">
        <v>36</v>
      </c>
      <c r="I24">
        <v>42</v>
      </c>
      <c r="J24">
        <v>48</v>
      </c>
      <c r="K24">
        <v>54</v>
      </c>
      <c r="L24">
        <v>60</v>
      </c>
      <c r="N24" s="58">
        <v>6</v>
      </c>
      <c r="O24" s="1" t="s">
        <v>208</v>
      </c>
      <c r="P24" s="1">
        <v>1</v>
      </c>
      <c r="Q24">
        <f t="shared" si="1"/>
        <v>6</v>
      </c>
    </row>
    <row r="25" spans="1:22" x14ac:dyDescent="0.3">
      <c r="B25" s="5">
        <v>7</v>
      </c>
      <c r="C25" s="39">
        <v>7</v>
      </c>
      <c r="D25">
        <v>14</v>
      </c>
      <c r="E25">
        <v>21</v>
      </c>
      <c r="F25">
        <v>28</v>
      </c>
      <c r="G25">
        <v>35</v>
      </c>
      <c r="H25">
        <v>42</v>
      </c>
      <c r="I25">
        <v>49</v>
      </c>
      <c r="J25">
        <v>56</v>
      </c>
      <c r="K25">
        <v>63</v>
      </c>
      <c r="L25">
        <v>70</v>
      </c>
      <c r="N25" s="58">
        <v>7</v>
      </c>
      <c r="O25" s="1" t="s">
        <v>208</v>
      </c>
      <c r="P25" s="1">
        <v>1</v>
      </c>
      <c r="Q25">
        <f t="shared" si="1"/>
        <v>7</v>
      </c>
    </row>
    <row r="26" spans="1:22" x14ac:dyDescent="0.3">
      <c r="B26" s="5">
        <v>8</v>
      </c>
      <c r="C26" s="39">
        <v>8</v>
      </c>
      <c r="D26">
        <v>16</v>
      </c>
      <c r="E26">
        <v>24</v>
      </c>
      <c r="F26">
        <v>32</v>
      </c>
      <c r="G26">
        <v>40</v>
      </c>
      <c r="H26">
        <v>48</v>
      </c>
      <c r="I26">
        <v>56</v>
      </c>
      <c r="J26">
        <v>64</v>
      </c>
      <c r="K26">
        <v>72</v>
      </c>
      <c r="L26">
        <v>80</v>
      </c>
      <c r="N26" s="58">
        <v>8</v>
      </c>
      <c r="O26" s="1" t="s">
        <v>208</v>
      </c>
      <c r="P26" s="1">
        <v>1</v>
      </c>
      <c r="Q26">
        <f t="shared" si="1"/>
        <v>8</v>
      </c>
    </row>
    <row r="27" spans="1:22" x14ac:dyDescent="0.3">
      <c r="B27" s="5">
        <v>9</v>
      </c>
      <c r="C27" s="39">
        <v>9</v>
      </c>
      <c r="D27">
        <v>18</v>
      </c>
      <c r="E27">
        <v>27</v>
      </c>
      <c r="F27">
        <v>36</v>
      </c>
      <c r="G27">
        <v>45</v>
      </c>
      <c r="H27">
        <v>54</v>
      </c>
      <c r="I27">
        <v>63</v>
      </c>
      <c r="J27">
        <v>72</v>
      </c>
      <c r="K27">
        <v>81</v>
      </c>
      <c r="L27">
        <v>90</v>
      </c>
      <c r="N27" s="58">
        <v>9</v>
      </c>
      <c r="O27" s="1" t="s">
        <v>208</v>
      </c>
      <c r="P27" s="1">
        <v>1</v>
      </c>
      <c r="Q27">
        <f t="shared" si="1"/>
        <v>9</v>
      </c>
    </row>
    <row r="28" spans="1:22" x14ac:dyDescent="0.3">
      <c r="B28" s="5">
        <v>10</v>
      </c>
      <c r="C28" s="39">
        <v>10</v>
      </c>
      <c r="D28">
        <v>20</v>
      </c>
      <c r="E28">
        <v>30</v>
      </c>
      <c r="F28">
        <v>40</v>
      </c>
      <c r="G28">
        <v>50</v>
      </c>
      <c r="H28">
        <v>60</v>
      </c>
      <c r="I28">
        <v>70</v>
      </c>
      <c r="J28">
        <v>80</v>
      </c>
      <c r="K28">
        <v>90</v>
      </c>
      <c r="L28">
        <v>100</v>
      </c>
      <c r="N28" s="58">
        <v>10</v>
      </c>
      <c r="O28" s="1" t="s">
        <v>208</v>
      </c>
      <c r="P28" s="1">
        <v>1</v>
      </c>
      <c r="Q28">
        <f t="shared" si="1"/>
        <v>10</v>
      </c>
    </row>
    <row r="29" spans="1:22" x14ac:dyDescent="0.3">
      <c r="N29" s="1"/>
      <c r="O29" s="1"/>
      <c r="P29" s="1"/>
    </row>
    <row r="30" spans="1:22" x14ac:dyDescent="0.3">
      <c r="A30" s="59" t="s">
        <v>211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</row>
    <row r="31" spans="1:22" x14ac:dyDescent="0.3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</row>
    <row r="32" spans="1:22" x14ac:dyDescent="0.3">
      <c r="D32" s="2" t="s">
        <v>216</v>
      </c>
      <c r="E32" s="2"/>
      <c r="F32" s="2"/>
      <c r="G32" s="2"/>
      <c r="H32" s="2"/>
    </row>
    <row r="33" spans="1:22" x14ac:dyDescent="0.3">
      <c r="C33" s="61">
        <v>0</v>
      </c>
      <c r="D33" s="61">
        <v>1</v>
      </c>
      <c r="E33" s="61">
        <v>2</v>
      </c>
      <c r="F33" s="61">
        <v>3</v>
      </c>
      <c r="G33" s="61">
        <v>4</v>
      </c>
      <c r="H33" s="61">
        <v>5</v>
      </c>
      <c r="M33" s="5" t="s">
        <v>212</v>
      </c>
      <c r="N33" s="5" t="s">
        <v>213</v>
      </c>
      <c r="O33" s="17" t="s">
        <v>214</v>
      </c>
      <c r="P33" s="17"/>
      <c r="Q33" s="24" t="s">
        <v>215</v>
      </c>
      <c r="R33" s="24"/>
    </row>
    <row r="34" spans="1:22" x14ac:dyDescent="0.3">
      <c r="A34" t="s">
        <v>203</v>
      </c>
      <c r="B34" s="61">
        <v>0</v>
      </c>
      <c r="C34" s="62">
        <v>1</v>
      </c>
      <c r="D34" s="4">
        <v>0</v>
      </c>
      <c r="E34" s="63">
        <v>0</v>
      </c>
      <c r="F34" s="4">
        <v>0</v>
      </c>
      <c r="G34" s="4">
        <v>0</v>
      </c>
      <c r="H34" s="4">
        <v>0</v>
      </c>
      <c r="M34">
        <v>0</v>
      </c>
      <c r="N34">
        <v>0</v>
      </c>
      <c r="O34" t="s">
        <v>35</v>
      </c>
      <c r="P34">
        <v>1</v>
      </c>
    </row>
    <row r="35" spans="1:22" x14ac:dyDescent="0.3">
      <c r="B35" s="61">
        <v>1</v>
      </c>
      <c r="C35" s="4">
        <v>0</v>
      </c>
      <c r="D35" s="62">
        <v>1</v>
      </c>
      <c r="E35" s="4">
        <v>0</v>
      </c>
      <c r="F35" s="63">
        <v>0</v>
      </c>
      <c r="G35" s="4">
        <v>0</v>
      </c>
      <c r="H35" s="4">
        <v>0</v>
      </c>
      <c r="M35">
        <v>0</v>
      </c>
      <c r="N35">
        <v>2</v>
      </c>
      <c r="O35" t="s">
        <v>57</v>
      </c>
      <c r="Q35">
        <v>0</v>
      </c>
    </row>
    <row r="36" spans="1:22" x14ac:dyDescent="0.3">
      <c r="B36" s="61">
        <v>2</v>
      </c>
      <c r="C36" s="4">
        <v>0</v>
      </c>
      <c r="D36" s="4">
        <v>0</v>
      </c>
      <c r="E36" s="62">
        <v>1</v>
      </c>
      <c r="F36" s="4">
        <v>0</v>
      </c>
      <c r="G36" s="63">
        <v>0</v>
      </c>
      <c r="H36" s="4">
        <v>0</v>
      </c>
      <c r="M36">
        <v>1</v>
      </c>
      <c r="N36">
        <v>1</v>
      </c>
      <c r="O36" t="s">
        <v>35</v>
      </c>
      <c r="P36">
        <v>1</v>
      </c>
    </row>
    <row r="37" spans="1:22" x14ac:dyDescent="0.3">
      <c r="B37" s="61">
        <v>3</v>
      </c>
      <c r="C37" s="4">
        <v>0</v>
      </c>
      <c r="D37" s="4">
        <v>0</v>
      </c>
      <c r="E37" s="4">
        <v>0</v>
      </c>
      <c r="F37" s="62">
        <v>1</v>
      </c>
      <c r="G37" s="4">
        <v>0</v>
      </c>
      <c r="H37" s="63">
        <v>0</v>
      </c>
      <c r="M37">
        <v>1</v>
      </c>
      <c r="N37">
        <v>3</v>
      </c>
      <c r="O37" t="s">
        <v>57</v>
      </c>
      <c r="Q37">
        <v>0</v>
      </c>
    </row>
    <row r="38" spans="1:22" x14ac:dyDescent="0.3">
      <c r="B38" s="61">
        <v>4</v>
      </c>
      <c r="C38" s="4">
        <v>0</v>
      </c>
      <c r="D38" s="4">
        <v>0</v>
      </c>
      <c r="E38" s="63">
        <v>0</v>
      </c>
      <c r="F38" s="4">
        <v>0</v>
      </c>
      <c r="G38" s="62">
        <v>1</v>
      </c>
      <c r="H38" s="4">
        <v>0</v>
      </c>
      <c r="M38">
        <v>2</v>
      </c>
      <c r="N38">
        <v>2</v>
      </c>
      <c r="O38" t="s">
        <v>35</v>
      </c>
      <c r="P38">
        <v>1</v>
      </c>
    </row>
    <row r="39" spans="1:22" x14ac:dyDescent="0.3">
      <c r="B39" s="61">
        <v>5</v>
      </c>
      <c r="C39" s="4">
        <v>0</v>
      </c>
      <c r="D39" s="4">
        <v>0</v>
      </c>
      <c r="E39" s="4">
        <v>0</v>
      </c>
      <c r="F39" s="63">
        <v>0</v>
      </c>
      <c r="G39" s="4">
        <v>0</v>
      </c>
      <c r="H39" s="62">
        <v>1</v>
      </c>
      <c r="M39">
        <v>2</v>
      </c>
      <c r="N39">
        <v>4</v>
      </c>
      <c r="O39" t="s">
        <v>57</v>
      </c>
      <c r="Q39">
        <v>0</v>
      </c>
    </row>
    <row r="40" spans="1:22" x14ac:dyDescent="0.3">
      <c r="M40">
        <v>3</v>
      </c>
      <c r="N40">
        <v>3</v>
      </c>
      <c r="O40" t="s">
        <v>35</v>
      </c>
      <c r="P40">
        <v>1</v>
      </c>
    </row>
    <row r="41" spans="1:22" x14ac:dyDescent="0.3">
      <c r="M41">
        <v>3</v>
      </c>
      <c r="N41">
        <v>5</v>
      </c>
      <c r="O41" t="s">
        <v>57</v>
      </c>
      <c r="Q41">
        <v>0</v>
      </c>
    </row>
    <row r="42" spans="1:22" x14ac:dyDescent="0.3">
      <c r="M42">
        <v>4</v>
      </c>
      <c r="N42">
        <v>4</v>
      </c>
      <c r="O42" t="s">
        <v>35</v>
      </c>
      <c r="P42">
        <v>1</v>
      </c>
    </row>
    <row r="43" spans="1:22" x14ac:dyDescent="0.3">
      <c r="M43">
        <v>4</v>
      </c>
      <c r="N43">
        <v>2</v>
      </c>
      <c r="O43" t="s">
        <v>57</v>
      </c>
      <c r="Q43">
        <v>0</v>
      </c>
    </row>
    <row r="44" spans="1:22" x14ac:dyDescent="0.3">
      <c r="M44">
        <v>5</v>
      </c>
      <c r="N44">
        <v>5</v>
      </c>
      <c r="O44" t="s">
        <v>35</v>
      </c>
      <c r="P44">
        <v>1</v>
      </c>
    </row>
    <row r="45" spans="1:22" x14ac:dyDescent="0.3">
      <c r="M45">
        <v>5</v>
      </c>
      <c r="N45">
        <v>3</v>
      </c>
      <c r="O45" t="s">
        <v>57</v>
      </c>
      <c r="Q45">
        <v>0</v>
      </c>
    </row>
    <row r="47" spans="1:22" x14ac:dyDescent="0.3">
      <c r="A47" s="64" t="s">
        <v>217</v>
      </c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</row>
    <row r="50" spans="1:22" x14ac:dyDescent="0.3">
      <c r="D50" s="17" t="s">
        <v>216</v>
      </c>
      <c r="E50" s="17"/>
      <c r="F50" s="17"/>
      <c r="G50" s="17"/>
      <c r="H50" s="17"/>
      <c r="I50" s="17"/>
      <c r="J50" s="17"/>
      <c r="K50" s="17"/>
    </row>
    <row r="51" spans="1:22" x14ac:dyDescent="0.3">
      <c r="C51" s="65">
        <v>0</v>
      </c>
      <c r="D51" s="65">
        <v>1</v>
      </c>
      <c r="E51" s="65">
        <v>2</v>
      </c>
      <c r="F51" s="65">
        <v>3</v>
      </c>
      <c r="G51" s="65">
        <v>4</v>
      </c>
      <c r="H51" s="65">
        <v>5</v>
      </c>
      <c r="I51" s="65">
        <v>6</v>
      </c>
      <c r="J51" s="65">
        <v>7</v>
      </c>
      <c r="K51" s="65">
        <v>8</v>
      </c>
      <c r="L51" s="65">
        <v>9</v>
      </c>
      <c r="N51" s="5" t="s">
        <v>31</v>
      </c>
      <c r="O51" s="5" t="s">
        <v>220</v>
      </c>
      <c r="P51" s="5" t="s">
        <v>218</v>
      </c>
      <c r="Q51" s="5" t="s">
        <v>219</v>
      </c>
      <c r="R51" s="5" t="s">
        <v>221</v>
      </c>
    </row>
    <row r="52" spans="1:22" x14ac:dyDescent="0.3">
      <c r="A52" t="s">
        <v>203</v>
      </c>
      <c r="B52" s="65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s="41">
        <v>0</v>
      </c>
      <c r="L52" s="41">
        <v>1</v>
      </c>
      <c r="N52">
        <v>0</v>
      </c>
      <c r="O52">
        <v>9</v>
      </c>
      <c r="P52" t="s">
        <v>35</v>
      </c>
      <c r="Q52">
        <v>1</v>
      </c>
    </row>
    <row r="53" spans="1:22" x14ac:dyDescent="0.3">
      <c r="B53" s="65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s="41">
        <v>0</v>
      </c>
      <c r="K53" s="41">
        <v>1</v>
      </c>
      <c r="L53">
        <v>0</v>
      </c>
      <c r="N53">
        <v>0</v>
      </c>
      <c r="O53">
        <v>8</v>
      </c>
      <c r="P53" t="s">
        <v>57</v>
      </c>
      <c r="R53">
        <v>0</v>
      </c>
    </row>
    <row r="54" spans="1:22" x14ac:dyDescent="0.3">
      <c r="B54" s="65">
        <v>2</v>
      </c>
      <c r="D54">
        <v>0</v>
      </c>
      <c r="E54">
        <v>0</v>
      </c>
      <c r="F54">
        <v>0</v>
      </c>
      <c r="G54" s="41">
        <v>0</v>
      </c>
      <c r="H54">
        <v>0</v>
      </c>
      <c r="I54">
        <v>0</v>
      </c>
      <c r="J54" s="41">
        <v>1</v>
      </c>
      <c r="K54">
        <v>0</v>
      </c>
      <c r="L54">
        <v>0</v>
      </c>
      <c r="N54">
        <v>1</v>
      </c>
      <c r="O54">
        <v>8</v>
      </c>
      <c r="P54" t="s">
        <v>35</v>
      </c>
      <c r="Q54">
        <v>1</v>
      </c>
    </row>
    <row r="55" spans="1:22" x14ac:dyDescent="0.3">
      <c r="B55" s="65">
        <v>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 s="41">
        <v>1</v>
      </c>
      <c r="J55">
        <v>0</v>
      </c>
      <c r="K55">
        <v>0</v>
      </c>
      <c r="L55">
        <v>0</v>
      </c>
      <c r="N55">
        <v>1</v>
      </c>
      <c r="O55">
        <v>7</v>
      </c>
      <c r="P55" t="s">
        <v>57</v>
      </c>
      <c r="R55">
        <v>0</v>
      </c>
    </row>
    <row r="56" spans="1:22" x14ac:dyDescent="0.3">
      <c r="B56" s="65">
        <v>4</v>
      </c>
      <c r="C56">
        <v>0</v>
      </c>
      <c r="D56">
        <v>0</v>
      </c>
      <c r="E56">
        <v>0</v>
      </c>
      <c r="F56">
        <v>0</v>
      </c>
      <c r="G56">
        <v>0</v>
      </c>
      <c r="H56" s="41">
        <v>1</v>
      </c>
      <c r="I56">
        <v>0</v>
      </c>
      <c r="J56">
        <v>0</v>
      </c>
      <c r="K56">
        <v>0</v>
      </c>
      <c r="L56">
        <v>0</v>
      </c>
      <c r="N56">
        <v>2</v>
      </c>
      <c r="O56">
        <v>7</v>
      </c>
      <c r="P56" t="s">
        <v>35</v>
      </c>
      <c r="Q56">
        <v>1</v>
      </c>
    </row>
    <row r="57" spans="1:22" x14ac:dyDescent="0.3">
      <c r="B57" s="65">
        <v>5</v>
      </c>
      <c r="C57">
        <v>0</v>
      </c>
      <c r="D57">
        <v>0</v>
      </c>
      <c r="E57">
        <v>0</v>
      </c>
      <c r="F57">
        <v>0</v>
      </c>
      <c r="G57" s="41">
        <v>1</v>
      </c>
      <c r="H57">
        <v>0</v>
      </c>
      <c r="I57">
        <v>0</v>
      </c>
      <c r="J57">
        <v>0</v>
      </c>
      <c r="K57">
        <v>0</v>
      </c>
      <c r="L57">
        <v>0</v>
      </c>
      <c r="N57">
        <v>2</v>
      </c>
      <c r="O57">
        <v>4</v>
      </c>
      <c r="P57" t="s">
        <v>57</v>
      </c>
      <c r="R57">
        <v>0</v>
      </c>
    </row>
    <row r="58" spans="1:22" x14ac:dyDescent="0.3">
      <c r="B58" s="65">
        <v>6</v>
      </c>
      <c r="C58">
        <v>0</v>
      </c>
      <c r="D58">
        <v>0</v>
      </c>
      <c r="E58">
        <v>0</v>
      </c>
      <c r="F58" s="41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22" x14ac:dyDescent="0.3">
      <c r="B59" s="65">
        <v>7</v>
      </c>
      <c r="C59">
        <v>0</v>
      </c>
      <c r="D59">
        <v>0</v>
      </c>
      <c r="E59" s="41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22" x14ac:dyDescent="0.3">
      <c r="B60" s="65">
        <v>8</v>
      </c>
      <c r="C60">
        <v>0</v>
      </c>
      <c r="D60" s="41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O60" t="s">
        <v>28</v>
      </c>
    </row>
    <row r="61" spans="1:22" x14ac:dyDescent="0.3">
      <c r="B61" s="65">
        <v>9</v>
      </c>
      <c r="C61" s="4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N61">
        <v>9</v>
      </c>
      <c r="O61">
        <v>0</v>
      </c>
      <c r="P61" t="s">
        <v>35</v>
      </c>
      <c r="Q61">
        <v>1</v>
      </c>
    </row>
    <row r="63" spans="1:22" x14ac:dyDescent="0.3">
      <c r="A63" s="32" t="s">
        <v>222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</row>
    <row r="65" spans="1:18" x14ac:dyDescent="0.3">
      <c r="B65" s="17" t="s">
        <v>224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t="s">
        <v>220</v>
      </c>
      <c r="N65" t="s">
        <v>227</v>
      </c>
      <c r="R65" t="s">
        <v>235</v>
      </c>
    </row>
    <row r="66" spans="1:18" s="5" customFormat="1" x14ac:dyDescent="0.3">
      <c r="C66" s="5">
        <v>0</v>
      </c>
      <c r="D66" s="5">
        <v>1</v>
      </c>
      <c r="E66" s="5">
        <v>2</v>
      </c>
      <c r="F66" s="5">
        <v>3</v>
      </c>
      <c r="M66" s="18">
        <v>0</v>
      </c>
      <c r="N66" s="18">
        <v>5</v>
      </c>
      <c r="O66" s="18" t="s">
        <v>226</v>
      </c>
      <c r="P66" s="18">
        <v>5</v>
      </c>
      <c r="R66" s="5">
        <v>16</v>
      </c>
    </row>
    <row r="67" spans="1:18" s="11" customFormat="1" x14ac:dyDescent="0.3">
      <c r="A67" s="5" t="s">
        <v>223</v>
      </c>
      <c r="B67" s="5">
        <v>0</v>
      </c>
      <c r="C67" s="66">
        <v>5</v>
      </c>
      <c r="D67" s="66">
        <v>2</v>
      </c>
      <c r="E67" s="66">
        <v>8</v>
      </c>
      <c r="F67" s="66">
        <v>1</v>
      </c>
      <c r="M67" s="23">
        <v>1</v>
      </c>
      <c r="N67" s="23">
        <v>2</v>
      </c>
      <c r="O67" s="18" t="s">
        <v>228</v>
      </c>
      <c r="P67" s="23">
        <v>7</v>
      </c>
    </row>
    <row r="68" spans="1:18" x14ac:dyDescent="0.3">
      <c r="B68" s="5">
        <v>1</v>
      </c>
      <c r="C68" s="67">
        <v>3</v>
      </c>
      <c r="D68" s="67">
        <v>7</v>
      </c>
      <c r="E68" s="67">
        <v>4</v>
      </c>
      <c r="F68" s="67">
        <v>6</v>
      </c>
      <c r="M68" s="1">
        <v>2</v>
      </c>
      <c r="N68" s="1">
        <v>8</v>
      </c>
      <c r="O68" s="18" t="s">
        <v>229</v>
      </c>
      <c r="P68" s="1">
        <v>15</v>
      </c>
    </row>
    <row r="69" spans="1:18" x14ac:dyDescent="0.3">
      <c r="B69" s="5">
        <v>2</v>
      </c>
      <c r="C69" s="67">
        <v>9</v>
      </c>
      <c r="D69" s="67">
        <v>1</v>
      </c>
      <c r="E69" s="67">
        <v>5</v>
      </c>
      <c r="F69" s="67">
        <v>2</v>
      </c>
      <c r="M69" s="1">
        <v>3</v>
      </c>
      <c r="N69" s="1">
        <v>1</v>
      </c>
      <c r="O69" s="18" t="s">
        <v>230</v>
      </c>
      <c r="P69" s="1">
        <v>16</v>
      </c>
    </row>
    <row r="70" spans="1:18" x14ac:dyDescent="0.3">
      <c r="M70" s="1"/>
      <c r="N70" s="1" t="s">
        <v>231</v>
      </c>
      <c r="O70" s="1"/>
      <c r="P70" s="1"/>
      <c r="R70" t="s">
        <v>236</v>
      </c>
    </row>
    <row r="71" spans="1:18" x14ac:dyDescent="0.3">
      <c r="B71" s="5" t="s">
        <v>225</v>
      </c>
      <c r="M71" s="1">
        <v>0</v>
      </c>
      <c r="N71" s="1">
        <v>3</v>
      </c>
      <c r="O71" s="18" t="s">
        <v>232</v>
      </c>
      <c r="P71" s="1">
        <v>4</v>
      </c>
      <c r="R71" s="1">
        <v>4</v>
      </c>
    </row>
    <row r="72" spans="1:18" x14ac:dyDescent="0.3">
      <c r="M72" s="1">
        <v>1</v>
      </c>
      <c r="N72" s="1">
        <v>7</v>
      </c>
      <c r="O72" s="18" t="s">
        <v>148</v>
      </c>
      <c r="P72" s="1">
        <v>11</v>
      </c>
    </row>
    <row r="73" spans="1:18" x14ac:dyDescent="0.3">
      <c r="M73" s="1">
        <v>2</v>
      </c>
      <c r="N73" s="1">
        <v>4</v>
      </c>
      <c r="O73" s="18" t="s">
        <v>233</v>
      </c>
      <c r="P73" s="1">
        <v>15</v>
      </c>
    </row>
    <row r="74" spans="1:18" x14ac:dyDescent="0.3">
      <c r="M74" s="1">
        <v>3</v>
      </c>
      <c r="N74" s="1">
        <v>6</v>
      </c>
      <c r="O74" s="18" t="s">
        <v>234</v>
      </c>
      <c r="P74" s="1">
        <v>21</v>
      </c>
    </row>
    <row r="75" spans="1:18" x14ac:dyDescent="0.3">
      <c r="N75" t="s">
        <v>237</v>
      </c>
      <c r="R75" t="s">
        <v>241</v>
      </c>
    </row>
    <row r="76" spans="1:18" x14ac:dyDescent="0.3">
      <c r="M76" s="1">
        <v>0</v>
      </c>
      <c r="N76" s="1">
        <v>9</v>
      </c>
      <c r="O76" s="18" t="s">
        <v>146</v>
      </c>
      <c r="P76" s="1">
        <v>11</v>
      </c>
      <c r="R76" s="1">
        <v>12</v>
      </c>
    </row>
    <row r="77" spans="1:18" x14ac:dyDescent="0.3">
      <c r="M77" s="1">
        <v>1</v>
      </c>
      <c r="N77" s="1">
        <v>1</v>
      </c>
      <c r="O77" s="18" t="s">
        <v>238</v>
      </c>
      <c r="P77" s="1">
        <v>12</v>
      </c>
    </row>
    <row r="78" spans="1:18" x14ac:dyDescent="0.3">
      <c r="M78" s="1">
        <v>2</v>
      </c>
      <c r="N78" s="1">
        <v>5</v>
      </c>
      <c r="O78" s="18" t="s">
        <v>239</v>
      </c>
      <c r="P78" s="1">
        <v>17</v>
      </c>
    </row>
    <row r="79" spans="1:18" x14ac:dyDescent="0.3">
      <c r="M79" s="1">
        <v>3</v>
      </c>
      <c r="N79" s="1">
        <v>2</v>
      </c>
      <c r="O79" s="18" t="s">
        <v>240</v>
      </c>
      <c r="P79" s="1">
        <v>19</v>
      </c>
    </row>
    <row r="81" spans="1:21" x14ac:dyDescent="0.3">
      <c r="A81" s="68" t="s">
        <v>242</v>
      </c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</row>
    <row r="83" spans="1:21" x14ac:dyDescent="0.3">
      <c r="B83" s="2" t="s">
        <v>216</v>
      </c>
      <c r="C83" s="2"/>
      <c r="D83" s="2"/>
      <c r="E83" s="2"/>
      <c r="F83" s="2"/>
      <c r="G83" s="28"/>
      <c r="H83" s="28"/>
      <c r="I83" s="28"/>
      <c r="J83" s="28"/>
      <c r="K83" s="28"/>
    </row>
    <row r="84" spans="1:21" s="5" customFormat="1" x14ac:dyDescent="0.3">
      <c r="C84" s="5">
        <v>0</v>
      </c>
      <c r="D84" s="5">
        <v>1</v>
      </c>
      <c r="E84" s="5">
        <v>2</v>
      </c>
      <c r="K84" s="5" t="s">
        <v>31</v>
      </c>
      <c r="L84" s="5" t="s">
        <v>220</v>
      </c>
      <c r="M84" s="5" t="s">
        <v>243</v>
      </c>
      <c r="N84" s="5" t="s">
        <v>53</v>
      </c>
      <c r="O84" s="5" t="s">
        <v>54</v>
      </c>
      <c r="P84" s="5" t="s">
        <v>244</v>
      </c>
    </row>
    <row r="85" spans="1:21" x14ac:dyDescent="0.3">
      <c r="A85" t="s">
        <v>203</v>
      </c>
      <c r="B85" s="5">
        <v>0</v>
      </c>
      <c r="C85">
        <v>45</v>
      </c>
      <c r="D85">
        <v>12</v>
      </c>
      <c r="E85">
        <v>80</v>
      </c>
      <c r="K85">
        <v>0</v>
      </c>
      <c r="L85">
        <v>0</v>
      </c>
      <c r="M85">
        <v>45</v>
      </c>
      <c r="N85">
        <v>45</v>
      </c>
      <c r="O85">
        <v>45</v>
      </c>
      <c r="P85" t="s">
        <v>245</v>
      </c>
    </row>
    <row r="86" spans="1:21" x14ac:dyDescent="0.3">
      <c r="B86" s="5">
        <v>1</v>
      </c>
      <c r="C86">
        <v>91</v>
      </c>
      <c r="D86">
        <v>25</v>
      </c>
      <c r="E86">
        <v>17</v>
      </c>
      <c r="K86">
        <v>0</v>
      </c>
      <c r="L86">
        <v>1</v>
      </c>
      <c r="M86">
        <v>12</v>
      </c>
      <c r="N86">
        <v>45</v>
      </c>
      <c r="O86">
        <v>12</v>
      </c>
      <c r="P86" t="s">
        <v>246</v>
      </c>
    </row>
    <row r="87" spans="1:21" x14ac:dyDescent="0.3">
      <c r="B87" s="5">
        <v>2</v>
      </c>
      <c r="C87">
        <v>8</v>
      </c>
      <c r="D87">
        <v>74</v>
      </c>
      <c r="E87">
        <v>55</v>
      </c>
      <c r="K87">
        <v>0</v>
      </c>
      <c r="L87">
        <v>2</v>
      </c>
      <c r="M87">
        <v>80</v>
      </c>
      <c r="N87">
        <v>80</v>
      </c>
      <c r="O87">
        <v>12</v>
      </c>
      <c r="P87" t="s">
        <v>247</v>
      </c>
    </row>
    <row r="88" spans="1:21" x14ac:dyDescent="0.3">
      <c r="K88">
        <v>1</v>
      </c>
      <c r="L88">
        <v>0</v>
      </c>
      <c r="M88">
        <v>91</v>
      </c>
      <c r="N88">
        <v>91</v>
      </c>
      <c r="O88">
        <v>12</v>
      </c>
      <c r="P88" t="s">
        <v>247</v>
      </c>
    </row>
    <row r="89" spans="1:21" x14ac:dyDescent="0.3">
      <c r="K89">
        <v>1</v>
      </c>
      <c r="L89">
        <v>1</v>
      </c>
      <c r="M89">
        <v>25</v>
      </c>
      <c r="N89">
        <v>91</v>
      </c>
      <c r="O89">
        <v>12</v>
      </c>
      <c r="P89" t="s">
        <v>248</v>
      </c>
    </row>
    <row r="90" spans="1:21" x14ac:dyDescent="0.3">
      <c r="K90">
        <v>1</v>
      </c>
      <c r="L90">
        <v>2</v>
      </c>
      <c r="M90">
        <v>17</v>
      </c>
      <c r="N90">
        <v>91</v>
      </c>
      <c r="O90">
        <v>12</v>
      </c>
      <c r="P90" t="s">
        <v>248</v>
      </c>
    </row>
    <row r="91" spans="1:21" x14ac:dyDescent="0.3">
      <c r="K91">
        <v>2</v>
      </c>
      <c r="L91">
        <v>0</v>
      </c>
      <c r="M91">
        <v>8</v>
      </c>
      <c r="N91">
        <v>91</v>
      </c>
      <c r="O91">
        <v>8</v>
      </c>
      <c r="P91" t="s">
        <v>246</v>
      </c>
    </row>
    <row r="92" spans="1:21" x14ac:dyDescent="0.3">
      <c r="K92">
        <v>2</v>
      </c>
      <c r="L92">
        <v>1</v>
      </c>
      <c r="M92">
        <v>74</v>
      </c>
      <c r="N92">
        <v>81</v>
      </c>
      <c r="O92">
        <v>8</v>
      </c>
      <c r="P92" t="s">
        <v>248</v>
      </c>
    </row>
    <row r="93" spans="1:21" x14ac:dyDescent="0.3">
      <c r="K93">
        <v>2</v>
      </c>
      <c r="L93">
        <v>2</v>
      </c>
      <c r="M93">
        <v>55</v>
      </c>
      <c r="N93">
        <v>91</v>
      </c>
      <c r="O93">
        <v>8</v>
      </c>
      <c r="P93" t="s">
        <v>248</v>
      </c>
    </row>
    <row r="95" spans="1:21" x14ac:dyDescent="0.3">
      <c r="A95" s="69" t="s">
        <v>249</v>
      </c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</row>
  </sheetData>
  <mergeCells count="16">
    <mergeCell ref="B83:F83"/>
    <mergeCell ref="A95:U95"/>
    <mergeCell ref="D50:K50"/>
    <mergeCell ref="A63:V63"/>
    <mergeCell ref="B65:L65"/>
    <mergeCell ref="A81:U81"/>
    <mergeCell ref="S19:V23"/>
    <mergeCell ref="A30:V30"/>
    <mergeCell ref="O33:P33"/>
    <mergeCell ref="D32:H32"/>
    <mergeCell ref="A47:V47"/>
    <mergeCell ref="A3:W4"/>
    <mergeCell ref="A6:V6"/>
    <mergeCell ref="C7:E7"/>
    <mergeCell ref="A15:V15"/>
    <mergeCell ref="N18:P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ARREGLOS</vt:lpstr>
      <vt:lpstr>MATRICES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heynny</dc:creator>
  <cp:lastModifiedBy>heynny</cp:lastModifiedBy>
  <dcterms:created xsi:type="dcterms:W3CDTF">2026-09-14T12:30:00Z</dcterms:created>
  <dcterms:modified xsi:type="dcterms:W3CDTF">2026-09-15T04:24:36Z</dcterms:modified>
</cp:coreProperties>
</file>